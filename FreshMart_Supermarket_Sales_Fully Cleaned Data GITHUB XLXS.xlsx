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pivotTables/pivotTable6.xml" ContentType="application/vnd.openxmlformats-officedocument.spreadsheetml.pivotTable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charts/chart4.xml" ContentType="application/vnd.openxmlformats-officedocument.drawingml.chart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6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Override PartName="/xl/pivotTables/pivotTable18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pivotCache/pivotCacheDefinition4.xml" ContentType="application/vnd.openxmlformats-officedocument.spreadsheetml.pivotCacheDefinition+xml"/>
  <Override PartName="/xl/drawings/drawing2.xml" ContentType="application/vnd.openxmlformats-officedocument.drawing+xml"/>
  <Override PartName="/xl/pivotTables/pivotTable16.xml" ContentType="application/vnd.openxmlformats-officedocument.spreadsheetml.pivot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Records8.xml" ContentType="application/vnd.openxmlformats-officedocument.spreadsheetml.pivotCacheRecords+xml"/>
  <Override PartName="/xl/drawings/drawing1.xml" ContentType="application/vnd.openxmlformats-officedocument.drawing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Records6.xml" ContentType="application/vnd.openxmlformats-officedocument.spreadsheetml.pivotCacheRecords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xl/pivotCache/pivotCacheRecords3.xml" ContentType="application/vnd.openxmlformats-officedocument.spreadsheetml.pivotCacheRecords+xml"/>
  <Override PartName="/xl/pivotCache/pivotCacheRecords4.xml" ContentType="application/vnd.openxmlformats-officedocument.spreadsheetml.pivotCacheRecords+xml"/>
  <Override PartName="/xl/sharedStrings.xml" ContentType="application/vnd.openxmlformats-officedocument.spreadsheetml.sharedStrings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Default Extension="bin" ContentType="application/vnd.openxmlformats-officedocument.spreadsheetml.printerSettings"/>
  <Override PartName="/xl/tables/table3.xml" ContentType="application/vnd.openxmlformats-officedocument.spreadsheetml.table+xml"/>
  <Override PartName="/xl/pivotTables/pivotTable5.xml" ContentType="application/vnd.openxmlformats-officedocument.spreadsheetml.pivotTable+xml"/>
  <Override PartName="/xl/worksheets/sheet14.xml" ContentType="application/vnd.openxmlformats-officedocument.spreadsheetml.worksheet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7.xml" ContentType="application/vnd.openxmlformats-officedocument.spreadsheetml.pivotCacheDefinition+xml"/>
  <Override PartName="/xl/pivotTables/pivotTable1.xml" ContentType="application/vnd.openxmlformats-officedocument.spreadsheetml.pivotTable+xml"/>
  <Override PartName="/xl/charts/chart3.xml" ContentType="application/vnd.openxmlformats-officedocument.drawingml.chart+xml"/>
  <Override PartName="/xl/pivotTables/pivotTable17.xml" ContentType="application/vnd.openxmlformats-officedocument.spreadsheetml.pivotTable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5.xml" ContentType="application/vnd.openxmlformats-officedocument.spreadsheetml.pivotCacheDefinition+xml"/>
  <Override PartName="/xl/charts/chart1.xml" ContentType="application/vnd.openxmlformats-officedocument.drawingml.chart+xml"/>
  <Override PartName="/xl/pivotTables/pivotTable15.xml" ContentType="application/vnd.openxmlformats-officedocument.spreadsheetml.pivotTable+xml"/>
  <Override PartName="/xl/drawings/drawing3.xml" ContentType="application/vnd.openxmlformats-officedocument.drawing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hidePivotFieldList="1" defaultThemeVersion="124226"/>
  <bookViews>
    <workbookView xWindow="240" yWindow="15" windowWidth="16095" windowHeight="9660" firstSheet="1" activeTab="8"/>
  </bookViews>
  <sheets>
    <sheet name="Sheet7" sheetId="7" state="hidden" r:id="rId1"/>
    <sheet name="Cleaned Data" sheetId="1" r:id="rId2"/>
    <sheet name="Analysis" sheetId="2" r:id="rId3"/>
    <sheet name="Monthly Analysis" sheetId="3" r:id="rId4"/>
    <sheet name="Sheet5" sheetId="5" state="hidden" r:id="rId5"/>
    <sheet name="Sheet6" sheetId="6" state="hidden" r:id="rId6"/>
    <sheet name="Sheet4" sheetId="8" state="hidden" r:id="rId7"/>
    <sheet name="Pivot Analysis" sheetId="9" r:id="rId8"/>
    <sheet name="Dashboard" sheetId="11" r:id="rId9"/>
    <sheet name="Insights &amp; Recommendation" sheetId="14" r:id="rId10"/>
    <sheet name="Sheet3" sheetId="17" state="hidden" r:id="rId11"/>
    <sheet name="Sheet2" sheetId="16" state="hidden" r:id="rId12"/>
    <sheet name="Sheet1" sheetId="15" state="hidden" r:id="rId13"/>
    <sheet name="Sheet8" sheetId="18" state="hidden" r:id="rId14"/>
    <sheet name="Sheet9" sheetId="19" state="hidden" r:id="rId15"/>
  </sheets>
  <calcPr calcId="124519"/>
  <pivotCaches>
    <pivotCache cacheId="0" r:id="rId16"/>
    <pivotCache cacheId="1" r:id="rId17"/>
    <pivotCache cacheId="2" r:id="rId18"/>
    <pivotCache cacheId="3" r:id="rId19"/>
    <pivotCache cacheId="4" r:id="rId20"/>
    <pivotCache cacheId="5" r:id="rId21"/>
    <pivotCache cacheId="6" r:id="rId22"/>
    <pivotCache cacheId="7" r:id="rId23"/>
  </pivotCaches>
  <fileRecoveryPr repairLoad="1"/>
</workbook>
</file>

<file path=xl/calcChain.xml><?xml version="1.0" encoding="utf-8"?>
<calcChain xmlns="http://schemas.openxmlformats.org/spreadsheetml/2006/main">
  <c r="B4" i="19"/>
  <c r="B5"/>
  <c r="B6"/>
  <c r="B7"/>
  <c r="B8"/>
  <c r="B9"/>
  <c r="B10"/>
  <c r="B11"/>
  <c r="B12"/>
  <c r="B13"/>
  <c r="B14"/>
  <c r="B3"/>
  <c r="B13" i="2" s="1"/>
  <c r="A3" i="19"/>
  <c r="D3" s="1"/>
  <c r="A4"/>
  <c r="D4" s="1"/>
  <c r="A5"/>
  <c r="D5" s="1"/>
  <c r="A6"/>
  <c r="D6" s="1"/>
  <c r="A7"/>
  <c r="D7" s="1"/>
  <c r="A8"/>
  <c r="D8" s="1"/>
  <c r="A9"/>
  <c r="D9" s="1"/>
  <c r="A10"/>
  <c r="D10" s="1"/>
  <c r="A11"/>
  <c r="D11" s="1"/>
  <c r="A12"/>
  <c r="D12" s="1"/>
  <c r="A13"/>
  <c r="D13" s="1"/>
  <c r="A14"/>
  <c r="D14" s="1"/>
  <c r="A15"/>
  <c r="A2"/>
  <c r="B9" i="2"/>
  <c r="B8"/>
  <c r="B7"/>
  <c r="B6"/>
  <c r="B5"/>
  <c r="B4"/>
  <c r="D18"/>
  <c r="D17"/>
  <c r="D16"/>
  <c r="D15"/>
  <c r="A18" i="3"/>
  <c r="B18" s="1"/>
  <c r="A19"/>
  <c r="B19" s="1"/>
  <c r="A20"/>
  <c r="B20" s="1"/>
  <c r="A21"/>
  <c r="B21" s="1"/>
  <c r="A17"/>
  <c r="B17" s="1"/>
  <c r="B4"/>
  <c r="B5"/>
  <c r="B6"/>
  <c r="B7"/>
  <c r="B3"/>
  <c r="B11"/>
  <c r="B12"/>
  <c r="B13"/>
  <c r="B14"/>
  <c r="B10"/>
  <c r="A11"/>
  <c r="A12"/>
  <c r="A13"/>
  <c r="A14"/>
  <c r="A10"/>
  <c r="K4" i="1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3"/>
  <c r="D8" i="2"/>
  <c r="D9"/>
  <c r="D5" s="1"/>
  <c r="D10"/>
  <c r="D7"/>
  <c r="D4" s="1"/>
  <c r="B31"/>
  <c r="B30"/>
  <c r="B27"/>
  <c r="B26"/>
  <c r="B23"/>
  <c r="B24"/>
  <c r="B25"/>
  <c r="B22"/>
  <c r="B19" s="1"/>
  <c r="B15" l="1"/>
  <c r="B16"/>
  <c r="B20"/>
  <c r="B14"/>
  <c r="D13"/>
  <c r="E12" i="3"/>
  <c r="E10"/>
  <c r="B32" i="2"/>
</calcChain>
</file>

<file path=xl/sharedStrings.xml><?xml version="1.0" encoding="utf-8"?>
<sst xmlns="http://schemas.openxmlformats.org/spreadsheetml/2006/main" count="867" uniqueCount="218">
  <si>
    <t>Date</t>
  </si>
  <si>
    <t>Product</t>
  </si>
  <si>
    <t>Category</t>
  </si>
  <si>
    <t>Quantity</t>
  </si>
  <si>
    <t>Unit Price</t>
  </si>
  <si>
    <t>Sales Amount</t>
  </si>
  <si>
    <t>Payment Method</t>
  </si>
  <si>
    <t>Customer Type</t>
  </si>
  <si>
    <t>City</t>
  </si>
  <si>
    <t>FM0001</t>
  </si>
  <si>
    <t>FM0002</t>
  </si>
  <si>
    <t>FM0003</t>
  </si>
  <si>
    <t>FM0004</t>
  </si>
  <si>
    <t>FM0005</t>
  </si>
  <si>
    <t>FM0006</t>
  </si>
  <si>
    <t>FM0007</t>
  </si>
  <si>
    <t>FM0008</t>
  </si>
  <si>
    <t>FM0009</t>
  </si>
  <si>
    <t>FM0010</t>
  </si>
  <si>
    <t>FM0011</t>
  </si>
  <si>
    <t>FM0012</t>
  </si>
  <si>
    <t>FM0013</t>
  </si>
  <si>
    <t>FM0014</t>
  </si>
  <si>
    <t>FM0015</t>
  </si>
  <si>
    <t>FM0016</t>
  </si>
  <si>
    <t>FM0017</t>
  </si>
  <si>
    <t>FM0018</t>
  </si>
  <si>
    <t>FM0019</t>
  </si>
  <si>
    <t>FM0020</t>
  </si>
  <si>
    <t>FM0021</t>
  </si>
  <si>
    <t>FM0022</t>
  </si>
  <si>
    <t>FM0023</t>
  </si>
  <si>
    <t>FM0024</t>
  </si>
  <si>
    <t>FM0025</t>
  </si>
  <si>
    <t>FM0026</t>
  </si>
  <si>
    <t>FM0027</t>
  </si>
  <si>
    <t>FM0028</t>
  </si>
  <si>
    <t>FM0029</t>
  </si>
  <si>
    <t>FM0030</t>
  </si>
  <si>
    <t>FM0031</t>
  </si>
  <si>
    <t>FM0032</t>
  </si>
  <si>
    <t>FM0033</t>
  </si>
  <si>
    <t>FM0034</t>
  </si>
  <si>
    <t>FM0035</t>
  </si>
  <si>
    <t>FM0036</t>
  </si>
  <si>
    <t>FM0037</t>
  </si>
  <si>
    <t>FM0038</t>
  </si>
  <si>
    <t>FM0039</t>
  </si>
  <si>
    <t>FM0040</t>
  </si>
  <si>
    <t>FM0041</t>
  </si>
  <si>
    <t>FM0042</t>
  </si>
  <si>
    <t>FM0043</t>
  </si>
  <si>
    <t>FM0044</t>
  </si>
  <si>
    <t>FM0045</t>
  </si>
  <si>
    <t>FM0046</t>
  </si>
  <si>
    <t>FM0047</t>
  </si>
  <si>
    <t>FM0048</t>
  </si>
  <si>
    <t>FM0049</t>
  </si>
  <si>
    <t>FM0050</t>
  </si>
  <si>
    <t>FM0051</t>
  </si>
  <si>
    <t>FM0052</t>
  </si>
  <si>
    <t>FM0053</t>
  </si>
  <si>
    <t>FM0054</t>
  </si>
  <si>
    <t>FM0055</t>
  </si>
  <si>
    <t>FM0056</t>
  </si>
  <si>
    <t>FM0057</t>
  </si>
  <si>
    <t>FM0058</t>
  </si>
  <si>
    <t>FM0059</t>
  </si>
  <si>
    <t>FM0060</t>
  </si>
  <si>
    <t>FM0061</t>
  </si>
  <si>
    <t>FM0062</t>
  </si>
  <si>
    <t>FM0063</t>
  </si>
  <si>
    <t>FM0064</t>
  </si>
  <si>
    <t>FM0065</t>
  </si>
  <si>
    <t>FM0066</t>
  </si>
  <si>
    <t>FM0067</t>
  </si>
  <si>
    <t>FM0068</t>
  </si>
  <si>
    <t>FM0069</t>
  </si>
  <si>
    <t>FM0070</t>
  </si>
  <si>
    <t>FM0071</t>
  </si>
  <si>
    <t>FM0072</t>
  </si>
  <si>
    <t>FM0073</t>
  </si>
  <si>
    <t>FM0074</t>
  </si>
  <si>
    <t>FM0075</t>
  </si>
  <si>
    <t>FM0076</t>
  </si>
  <si>
    <t>FM0077</t>
  </si>
  <si>
    <t>FM0078</t>
  </si>
  <si>
    <t>FM0079</t>
  </si>
  <si>
    <t>FM0080</t>
  </si>
  <si>
    <t>FM0081</t>
  </si>
  <si>
    <t>FM0082</t>
  </si>
  <si>
    <t>FM0083</t>
  </si>
  <si>
    <t>FM0084</t>
  </si>
  <si>
    <t>FM0085</t>
  </si>
  <si>
    <t>FM0086</t>
  </si>
  <si>
    <t>FM0087</t>
  </si>
  <si>
    <t>FM0088</t>
  </si>
  <si>
    <t>FM0090</t>
  </si>
  <si>
    <t>FM0091</t>
  </si>
  <si>
    <t>FM0092</t>
  </si>
  <si>
    <t>FM0093</t>
  </si>
  <si>
    <t>FM0094</t>
  </si>
  <si>
    <t>FM0095</t>
  </si>
  <si>
    <t>FM0096</t>
  </si>
  <si>
    <t>FM0097</t>
  </si>
  <si>
    <t>FM0098</t>
  </si>
  <si>
    <t>FM0099</t>
  </si>
  <si>
    <t>Coffee</t>
  </si>
  <si>
    <t>Bread</t>
  </si>
  <si>
    <t>Rice 5kg</t>
  </si>
  <si>
    <t>Laundry Detergent</t>
  </si>
  <si>
    <t>Vegetable Oil 1L</t>
  </si>
  <si>
    <t>Soft Drink</t>
  </si>
  <si>
    <t>Bottled Water</t>
  </si>
  <si>
    <t>Eggs (12)</t>
  </si>
  <si>
    <t>Potato Chips</t>
  </si>
  <si>
    <t>Biscuits</t>
  </si>
  <si>
    <t>Yoghurt</t>
  </si>
  <si>
    <t>Milk 1L</t>
  </si>
  <si>
    <t>Beverages</t>
  </si>
  <si>
    <t>Bakery</t>
  </si>
  <si>
    <t>Groceries</t>
  </si>
  <si>
    <t>Household</t>
  </si>
  <si>
    <t>Dairy</t>
  </si>
  <si>
    <t>Snacks</t>
  </si>
  <si>
    <t>Transfer</t>
  </si>
  <si>
    <t>Cash</t>
  </si>
  <si>
    <t>Card</t>
  </si>
  <si>
    <t>POS</t>
  </si>
  <si>
    <t>Regular</t>
  </si>
  <si>
    <t>New</t>
  </si>
  <si>
    <t>Ibadan</t>
  </si>
  <si>
    <t>Lagos</t>
  </si>
  <si>
    <t>Osogbo</t>
  </si>
  <si>
    <t>Ife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</si>
  <si>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</si>
  <si>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</si>
  <si>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</si>
  <si>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</si>
  <si>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</si>
  <si>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</si>
  <si>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</si>
  <si>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</si>
  <si>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</si>
  <si>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</si>
  <si>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Total Revenue</t>
  </si>
  <si>
    <t>Total Quantity Sold</t>
  </si>
  <si>
    <t>Average Sales Amount</t>
  </si>
  <si>
    <t>Highest Transaction</t>
  </si>
  <si>
    <t>Lowest Transaction</t>
  </si>
  <si>
    <t>Number of Transaction</t>
  </si>
  <si>
    <t>Overall Performance</t>
  </si>
  <si>
    <t>Product Performance</t>
  </si>
  <si>
    <t>Product with the highest total revenue</t>
  </si>
  <si>
    <t>Product with the lowest total revenue</t>
  </si>
  <si>
    <t>Product with the highest quantity sold</t>
  </si>
  <si>
    <t>Product with the lowest quantity sold</t>
  </si>
  <si>
    <t>Category Performance</t>
  </si>
  <si>
    <t>Category with the highest revenue</t>
  </si>
  <si>
    <t>Customer Analysis</t>
  </si>
  <si>
    <t>Which Customer type generated most revenue?</t>
  </si>
  <si>
    <t>Revenue from Regular customers</t>
  </si>
  <si>
    <t>Revenue from New customers</t>
  </si>
  <si>
    <t>FM0089</t>
  </si>
  <si>
    <t>Location Analysis</t>
  </si>
  <si>
    <t>City with the highest revenue</t>
  </si>
  <si>
    <t>City with the lowest revenue</t>
  </si>
  <si>
    <t>Payment Analysis</t>
  </si>
  <si>
    <t>Most frequently used payment method</t>
  </si>
  <si>
    <t>Category with the lowest revenue</t>
  </si>
  <si>
    <t>Revenue generated by each category;</t>
  </si>
  <si>
    <t>Revenue generated by each city;</t>
  </si>
  <si>
    <t>Number of transactions for each payment method;</t>
  </si>
  <si>
    <t>Data Analysis</t>
  </si>
  <si>
    <t>Monthly Revenue</t>
  </si>
  <si>
    <t>January</t>
  </si>
  <si>
    <t>February</t>
  </si>
  <si>
    <t>March</t>
  </si>
  <si>
    <t>April</t>
  </si>
  <si>
    <t>May</t>
  </si>
  <si>
    <t>Column11</t>
  </si>
  <si>
    <t>Formatted Date</t>
  </si>
  <si>
    <t>Revenue for each month</t>
  </si>
  <si>
    <t>Quantity sold each month</t>
  </si>
  <si>
    <t>Number of transactions each month</t>
  </si>
  <si>
    <t>Lowest-revenue month</t>
  </si>
  <si>
    <t>Row Labels</t>
  </si>
  <si>
    <t>Grand Total</t>
  </si>
  <si>
    <t>Count of Column7</t>
  </si>
  <si>
    <t>Sum of Column7</t>
  </si>
  <si>
    <t>Pivot Analysis</t>
  </si>
  <si>
    <t>Revenue by Product</t>
  </si>
  <si>
    <t>Revenue by Category</t>
  </si>
  <si>
    <t>Revenue by City</t>
  </si>
  <si>
    <t>FRESHMART SUPERMARKET SALES DASHBOARD</t>
  </si>
  <si>
    <t>Order Id</t>
  </si>
  <si>
    <t>Sum of Sum of Column7</t>
  </si>
  <si>
    <t>Business Insights</t>
  </si>
  <si>
    <t>Highest-revenue month</t>
  </si>
  <si>
    <t>Lagos had the most sales.</t>
  </si>
  <si>
    <t>The highest revenue product was rice.</t>
  </si>
  <si>
    <t>Recommendation</t>
  </si>
  <si>
    <t>Ife city's branch recorded the lowest sales.</t>
  </si>
  <si>
    <t>Sum of 1</t>
  </si>
  <si>
    <t>Values</t>
  </si>
  <si>
    <t>Count of Ibadan</t>
  </si>
  <si>
    <t>Count of Column5</t>
  </si>
  <si>
    <t>Column Labels</t>
  </si>
  <si>
    <t>Cash was the preferred method among customers.</t>
  </si>
  <si>
    <t>Given that cash is the dominant payment method, ensure adequate cash-handling processes are in place.</t>
  </si>
  <si>
    <t>Since rice is the highest revenue product,prioritize its stock availability and consider bundling it with slower-moving items to boost overall sales.</t>
  </si>
  <si>
    <t>Awareness about the business should be increased,especially at the ife branch.</t>
  </si>
  <si>
    <t>Since Lagos generated the most sales, I recommend allocating more stock and marketing resources to sustain the momentum.</t>
  </si>
  <si>
    <t xml:space="preserve">Since January recorded the highest monthly transactions,prepare inventory and staffing in advance for that period each year to meet demand. </t>
  </si>
  <si>
    <t>As April is also a strong revenue month,analyze what drives sales that month(promotions,season,etc.)and replicate strategy in other months.</t>
  </si>
  <si>
    <t>Highest monthly transaction was recorded in January.</t>
  </si>
  <si>
    <t>April was the second highest revenue month.</t>
  </si>
  <si>
    <t>PRODUCT</t>
  </si>
</sst>
</file>

<file path=xl/styles.xml><?xml version="1.0" encoding="utf-8"?>
<styleSheet xmlns="http://schemas.openxmlformats.org/spreadsheetml/2006/main">
  <numFmts count="1">
    <numFmt numFmtId="164" formatCode="mmmm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  <xf numFmtId="0" fontId="2" fillId="0" borderId="0" xfId="0" applyFont="1" applyAlignment="1"/>
    <xf numFmtId="0" fontId="0" fillId="0" borderId="0" xfId="0" applyFont="1"/>
    <xf numFmtId="2" fontId="1" fillId="0" borderId="0" xfId="0" applyNumberFormat="1" applyFont="1"/>
    <xf numFmtId="0" fontId="0" fillId="0" borderId="0" xfId="0" applyFont="1" applyAlignment="1">
      <alignment wrapText="1"/>
    </xf>
    <xf numFmtId="0" fontId="0" fillId="0" borderId="0" xfId="0" applyFont="1" applyAlignment="1">
      <alignment horizontal="center"/>
    </xf>
    <xf numFmtId="164" fontId="0" fillId="0" borderId="0" xfId="0" applyNumberFormat="1"/>
    <xf numFmtId="0" fontId="3" fillId="0" borderId="2" xfId="0" applyFont="1" applyBorder="1" applyAlignment="1">
      <alignment horizontal="center" vertical="top"/>
    </xf>
    <xf numFmtId="22" fontId="1" fillId="0" borderId="1" xfId="0" applyNumberFormat="1" applyFont="1" applyBorder="1" applyAlignment="1">
      <alignment horizontal="center" vertical="top"/>
    </xf>
    <xf numFmtId="22" fontId="0" fillId="0" borderId="0" xfId="0" applyNumberFormat="1"/>
    <xf numFmtId="0" fontId="2" fillId="0" borderId="0" xfId="0" applyFont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1" fillId="0" borderId="0" xfId="0" applyFont="1" applyAlignment="1">
      <alignment horizontal="left"/>
    </xf>
    <xf numFmtId="0" fontId="5" fillId="0" borderId="0" xfId="0" applyFont="1"/>
    <xf numFmtId="0" fontId="0" fillId="0" borderId="0" xfId="0" applyAlignme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27" formatCode="m/d/yyyy\ 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relativeIndent="0" justifyLastLine="0" shrinkToFit="0" mergeCell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pivotCacheDefinition" Target="pivotCache/pivotCacheDefinition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8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7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[FreshMart_Supermarket_Sales_Fully Cleaned Data GITHUB XLXS.xlsx]Sheet4!PivotTable22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Sheet4!$H$4:$H$5</c:f>
              <c:strCache>
                <c:ptCount val="1"/>
                <c:pt idx="0">
                  <c:v>Sum of 1</c:v>
                </c:pt>
              </c:strCache>
            </c:strRef>
          </c:tx>
          <c:cat>
            <c:strRef>
              <c:f>Sheet4!$G$6:$G$18</c:f>
              <c:strCache>
                <c:ptCount val="12"/>
                <c:pt idx="0">
                  <c:v>Biscuits</c:v>
                </c:pt>
                <c:pt idx="1">
                  <c:v>Bottled Water</c:v>
                </c:pt>
                <c:pt idx="2">
                  <c:v>Bread</c:v>
                </c:pt>
                <c:pt idx="3">
                  <c:v>Coffee</c:v>
                </c:pt>
                <c:pt idx="4">
                  <c:v>Eggs (12)</c:v>
                </c:pt>
                <c:pt idx="5">
                  <c:v>Laundry Detergent</c:v>
                </c:pt>
                <c:pt idx="6">
                  <c:v>Milk 1L</c:v>
                </c:pt>
                <c:pt idx="7">
                  <c:v>Potato Chips</c:v>
                </c:pt>
                <c:pt idx="8">
                  <c:v>Rice 5kg</c:v>
                </c:pt>
                <c:pt idx="9">
                  <c:v>Soft Drink</c:v>
                </c:pt>
                <c:pt idx="10">
                  <c:v>Vegetable Oil 1L</c:v>
                </c:pt>
                <c:pt idx="11">
                  <c:v>Yoghurt</c:v>
                </c:pt>
              </c:strCache>
            </c:strRef>
          </c:cat>
          <c:val>
            <c:numRef>
              <c:f>Sheet4!$H$6:$H$18</c:f>
              <c:numCache>
                <c:formatCode>General</c:formatCode>
                <c:ptCount val="12"/>
                <c:pt idx="0">
                  <c:v>34</c:v>
                </c:pt>
                <c:pt idx="1">
                  <c:v>18</c:v>
                </c:pt>
                <c:pt idx="2">
                  <c:v>32</c:v>
                </c:pt>
                <c:pt idx="3">
                  <c:v>50</c:v>
                </c:pt>
                <c:pt idx="4">
                  <c:v>23</c:v>
                </c:pt>
                <c:pt idx="5">
                  <c:v>23</c:v>
                </c:pt>
                <c:pt idx="6">
                  <c:v>11</c:v>
                </c:pt>
                <c:pt idx="7">
                  <c:v>17</c:v>
                </c:pt>
                <c:pt idx="8">
                  <c:v>36</c:v>
                </c:pt>
                <c:pt idx="9">
                  <c:v>35</c:v>
                </c:pt>
                <c:pt idx="10">
                  <c:v>18</c:v>
                </c:pt>
                <c:pt idx="11">
                  <c:v>22</c:v>
                </c:pt>
              </c:numCache>
            </c:numRef>
          </c:val>
        </c:ser>
        <c:ser>
          <c:idx val="1"/>
          <c:order val="1"/>
          <c:tx>
            <c:strRef>
              <c:f>Sheet4!$I$4:$I$5</c:f>
              <c:strCache>
                <c:ptCount val="1"/>
                <c:pt idx="0">
                  <c:v>Count of Ibadan</c:v>
                </c:pt>
              </c:strCache>
            </c:strRef>
          </c:tx>
          <c:cat>
            <c:strRef>
              <c:f>Sheet4!$G$6:$G$18</c:f>
              <c:strCache>
                <c:ptCount val="12"/>
                <c:pt idx="0">
                  <c:v>Biscuits</c:v>
                </c:pt>
                <c:pt idx="1">
                  <c:v>Bottled Water</c:v>
                </c:pt>
                <c:pt idx="2">
                  <c:v>Bread</c:v>
                </c:pt>
                <c:pt idx="3">
                  <c:v>Coffee</c:v>
                </c:pt>
                <c:pt idx="4">
                  <c:v>Eggs (12)</c:v>
                </c:pt>
                <c:pt idx="5">
                  <c:v>Laundry Detergent</c:v>
                </c:pt>
                <c:pt idx="6">
                  <c:v>Milk 1L</c:v>
                </c:pt>
                <c:pt idx="7">
                  <c:v>Potato Chips</c:v>
                </c:pt>
                <c:pt idx="8">
                  <c:v>Rice 5kg</c:v>
                </c:pt>
                <c:pt idx="9">
                  <c:v>Soft Drink</c:v>
                </c:pt>
                <c:pt idx="10">
                  <c:v>Vegetable Oil 1L</c:v>
                </c:pt>
                <c:pt idx="11">
                  <c:v>Yoghurt</c:v>
                </c:pt>
              </c:strCache>
            </c:strRef>
          </c:cat>
          <c:val>
            <c:numRef>
              <c:f>Sheet4!$I$6:$I$18</c:f>
              <c:numCache>
                <c:formatCode>General</c:formatCode>
                <c:ptCount val="12"/>
                <c:pt idx="0">
                  <c:v>11</c:v>
                </c:pt>
                <c:pt idx="1">
                  <c:v>4</c:v>
                </c:pt>
                <c:pt idx="2">
                  <c:v>11</c:v>
                </c:pt>
                <c:pt idx="3">
                  <c:v>13</c:v>
                </c:pt>
                <c:pt idx="4">
                  <c:v>8</c:v>
                </c:pt>
                <c:pt idx="5">
                  <c:v>6</c:v>
                </c:pt>
                <c:pt idx="6">
                  <c:v>5</c:v>
                </c:pt>
                <c:pt idx="7">
                  <c:v>7</c:v>
                </c:pt>
                <c:pt idx="8">
                  <c:v>11</c:v>
                </c:pt>
                <c:pt idx="9">
                  <c:v>10</c:v>
                </c:pt>
                <c:pt idx="10">
                  <c:v>5</c:v>
                </c:pt>
                <c:pt idx="11">
                  <c:v>7</c:v>
                </c:pt>
              </c:numCache>
            </c:numRef>
          </c:val>
        </c:ser>
        <c:axId val="137319936"/>
        <c:axId val="137321472"/>
      </c:barChart>
      <c:catAx>
        <c:axId val="137319936"/>
        <c:scaling>
          <c:orientation val="minMax"/>
        </c:scaling>
        <c:axPos val="b"/>
        <c:tickLblPos val="nextTo"/>
        <c:crossAx val="137321472"/>
        <c:crosses val="autoZero"/>
        <c:auto val="1"/>
        <c:lblAlgn val="ctr"/>
        <c:lblOffset val="100"/>
      </c:catAx>
      <c:valAx>
        <c:axId val="137321472"/>
        <c:scaling>
          <c:orientation val="minMax"/>
        </c:scaling>
        <c:axPos val="l"/>
        <c:majorGridlines/>
        <c:numFmt formatCode="General" sourceLinked="1"/>
        <c:tickLblPos val="nextTo"/>
        <c:crossAx val="137319936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[FreshMart_Supermarket_Sales_Fully Cleaned Data GITHUB XLXS.xlsx]Sheet4!PivotTable23</c:name>
    <c:fmtId val="0"/>
  </c:pivotSource>
  <c:chart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Sheet4!$B$98:$B$99</c:f>
              <c:strCache>
                <c:ptCount val="1"/>
                <c:pt idx="0">
                  <c:v>Biscuits</c:v>
                </c:pt>
              </c:strCache>
            </c:strRef>
          </c:tx>
          <c:cat>
            <c:strRef>
              <c:f>Sheet4!$A$100:$A$105</c:f>
              <c:strCache>
                <c:ptCount val="5"/>
                <c:pt idx="0">
                  <c:v>City</c:v>
                </c:pt>
                <c:pt idx="1">
                  <c:v>Ibadan</c:v>
                </c:pt>
                <c:pt idx="2">
                  <c:v>Ife</c:v>
                </c:pt>
                <c:pt idx="3">
                  <c:v>Lagos</c:v>
                </c:pt>
                <c:pt idx="4">
                  <c:v>Osogbo</c:v>
                </c:pt>
              </c:strCache>
            </c:strRef>
          </c:cat>
          <c:val>
            <c:numRef>
              <c:f>Sheet4!$B$100:$B$105</c:f>
              <c:numCache>
                <c:formatCode>General</c:formatCode>
                <c:ptCount val="5"/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</c:ser>
        <c:ser>
          <c:idx val="1"/>
          <c:order val="1"/>
          <c:tx>
            <c:strRef>
              <c:f>Sheet4!$C$98:$C$99</c:f>
              <c:strCache>
                <c:ptCount val="1"/>
                <c:pt idx="0">
                  <c:v>Bottled Water</c:v>
                </c:pt>
              </c:strCache>
            </c:strRef>
          </c:tx>
          <c:cat>
            <c:strRef>
              <c:f>Sheet4!$A$100:$A$105</c:f>
              <c:strCache>
                <c:ptCount val="5"/>
                <c:pt idx="0">
                  <c:v>City</c:v>
                </c:pt>
                <c:pt idx="1">
                  <c:v>Ibadan</c:v>
                </c:pt>
                <c:pt idx="2">
                  <c:v>Ife</c:v>
                </c:pt>
                <c:pt idx="3">
                  <c:v>Lagos</c:v>
                </c:pt>
                <c:pt idx="4">
                  <c:v>Osogbo</c:v>
                </c:pt>
              </c:strCache>
            </c:strRef>
          </c:cat>
          <c:val>
            <c:numRef>
              <c:f>Sheet4!$C$100:$C$105</c:f>
              <c:numCache>
                <c:formatCode>General</c:formatCode>
                <c:ptCount val="5"/>
                <c:pt idx="1">
                  <c:v>2</c:v>
                </c:pt>
                <c:pt idx="2">
                  <c:v>2</c:v>
                </c:pt>
              </c:numCache>
            </c:numRef>
          </c:val>
        </c:ser>
        <c:ser>
          <c:idx val="2"/>
          <c:order val="2"/>
          <c:tx>
            <c:strRef>
              <c:f>Sheet4!$D$98:$D$99</c:f>
              <c:strCache>
                <c:ptCount val="1"/>
                <c:pt idx="0">
                  <c:v>Bread</c:v>
                </c:pt>
              </c:strCache>
            </c:strRef>
          </c:tx>
          <c:cat>
            <c:strRef>
              <c:f>Sheet4!$A$100:$A$105</c:f>
              <c:strCache>
                <c:ptCount val="5"/>
                <c:pt idx="0">
                  <c:v>City</c:v>
                </c:pt>
                <c:pt idx="1">
                  <c:v>Ibadan</c:v>
                </c:pt>
                <c:pt idx="2">
                  <c:v>Ife</c:v>
                </c:pt>
                <c:pt idx="3">
                  <c:v>Lagos</c:v>
                </c:pt>
                <c:pt idx="4">
                  <c:v>Osogbo</c:v>
                </c:pt>
              </c:strCache>
            </c:strRef>
          </c:cat>
          <c:val>
            <c:numRef>
              <c:f>Sheet4!$D$100:$D$105</c:f>
              <c:numCache>
                <c:formatCode>General</c:formatCode>
                <c:ptCount val="5"/>
                <c:pt idx="2">
                  <c:v>6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</c:ser>
        <c:ser>
          <c:idx val="3"/>
          <c:order val="3"/>
          <c:tx>
            <c:strRef>
              <c:f>Sheet4!$E$98:$E$99</c:f>
              <c:strCache>
                <c:ptCount val="1"/>
                <c:pt idx="0">
                  <c:v>Coffee</c:v>
                </c:pt>
              </c:strCache>
            </c:strRef>
          </c:tx>
          <c:cat>
            <c:strRef>
              <c:f>Sheet4!$A$100:$A$105</c:f>
              <c:strCache>
                <c:ptCount val="5"/>
                <c:pt idx="0">
                  <c:v>City</c:v>
                </c:pt>
                <c:pt idx="1">
                  <c:v>Ibadan</c:v>
                </c:pt>
                <c:pt idx="2">
                  <c:v>Ife</c:v>
                </c:pt>
                <c:pt idx="3">
                  <c:v>Lagos</c:v>
                </c:pt>
                <c:pt idx="4">
                  <c:v>Osogbo</c:v>
                </c:pt>
              </c:strCache>
            </c:strRef>
          </c:cat>
          <c:val>
            <c:numRef>
              <c:f>Sheet4!$E$100:$E$105</c:f>
              <c:numCache>
                <c:formatCode>General</c:formatCode>
                <c:ptCount val="5"/>
                <c:pt idx="1">
                  <c:v>7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Sheet4!$F$98:$F$99</c:f>
              <c:strCache>
                <c:ptCount val="1"/>
                <c:pt idx="0">
                  <c:v>Eggs (12)</c:v>
                </c:pt>
              </c:strCache>
            </c:strRef>
          </c:tx>
          <c:cat>
            <c:strRef>
              <c:f>Sheet4!$A$100:$A$105</c:f>
              <c:strCache>
                <c:ptCount val="5"/>
                <c:pt idx="0">
                  <c:v>City</c:v>
                </c:pt>
                <c:pt idx="1">
                  <c:v>Ibadan</c:v>
                </c:pt>
                <c:pt idx="2">
                  <c:v>Ife</c:v>
                </c:pt>
                <c:pt idx="3">
                  <c:v>Lagos</c:v>
                </c:pt>
                <c:pt idx="4">
                  <c:v>Osogbo</c:v>
                </c:pt>
              </c:strCache>
            </c:strRef>
          </c:cat>
          <c:val>
            <c:numRef>
              <c:f>Sheet4!$F$100:$F$105</c:f>
              <c:numCache>
                <c:formatCode>General</c:formatCode>
                <c:ptCount val="5"/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</c:numCache>
            </c:numRef>
          </c:val>
        </c:ser>
        <c:ser>
          <c:idx val="5"/>
          <c:order val="5"/>
          <c:tx>
            <c:strRef>
              <c:f>Sheet4!$G$98:$G$99</c:f>
              <c:strCache>
                <c:ptCount val="1"/>
                <c:pt idx="0">
                  <c:v>Laundry Detergent</c:v>
                </c:pt>
              </c:strCache>
            </c:strRef>
          </c:tx>
          <c:cat>
            <c:strRef>
              <c:f>Sheet4!$A$100:$A$105</c:f>
              <c:strCache>
                <c:ptCount val="5"/>
                <c:pt idx="0">
                  <c:v>City</c:v>
                </c:pt>
                <c:pt idx="1">
                  <c:v>Ibadan</c:v>
                </c:pt>
                <c:pt idx="2">
                  <c:v>Ife</c:v>
                </c:pt>
                <c:pt idx="3">
                  <c:v>Lagos</c:v>
                </c:pt>
                <c:pt idx="4">
                  <c:v>Osogbo</c:v>
                </c:pt>
              </c:strCache>
            </c:strRef>
          </c:cat>
          <c:val>
            <c:numRef>
              <c:f>Sheet4!$G$100:$G$105</c:f>
              <c:numCache>
                <c:formatCode>General</c:formatCode>
                <c:ptCount val="5"/>
                <c:pt idx="1">
                  <c:v>2</c:v>
                </c:pt>
                <c:pt idx="2">
                  <c:v>1</c:v>
                </c:pt>
                <c:pt idx="4">
                  <c:v>3</c:v>
                </c:pt>
              </c:numCache>
            </c:numRef>
          </c:val>
        </c:ser>
        <c:ser>
          <c:idx val="6"/>
          <c:order val="6"/>
          <c:tx>
            <c:strRef>
              <c:f>Sheet4!$H$98:$H$99</c:f>
              <c:strCache>
                <c:ptCount val="1"/>
                <c:pt idx="0">
                  <c:v>Milk 1L</c:v>
                </c:pt>
              </c:strCache>
            </c:strRef>
          </c:tx>
          <c:cat>
            <c:strRef>
              <c:f>Sheet4!$A$100:$A$105</c:f>
              <c:strCache>
                <c:ptCount val="5"/>
                <c:pt idx="0">
                  <c:v>City</c:v>
                </c:pt>
                <c:pt idx="1">
                  <c:v>Ibadan</c:v>
                </c:pt>
                <c:pt idx="2">
                  <c:v>Ife</c:v>
                </c:pt>
                <c:pt idx="3">
                  <c:v>Lagos</c:v>
                </c:pt>
                <c:pt idx="4">
                  <c:v>Osogbo</c:v>
                </c:pt>
              </c:strCache>
            </c:strRef>
          </c:cat>
          <c:val>
            <c:numRef>
              <c:f>Sheet4!$H$100:$H$105</c:f>
              <c:numCache>
                <c:formatCode>General</c:formatCode>
                <c:ptCount val="5"/>
                <c:pt idx="1">
                  <c:v>1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</c:ser>
        <c:ser>
          <c:idx val="7"/>
          <c:order val="7"/>
          <c:tx>
            <c:strRef>
              <c:f>Sheet4!$I$98:$I$99</c:f>
              <c:strCache>
                <c:ptCount val="1"/>
                <c:pt idx="0">
                  <c:v>Potato Chips</c:v>
                </c:pt>
              </c:strCache>
            </c:strRef>
          </c:tx>
          <c:cat>
            <c:strRef>
              <c:f>Sheet4!$A$100:$A$105</c:f>
              <c:strCache>
                <c:ptCount val="5"/>
                <c:pt idx="0">
                  <c:v>City</c:v>
                </c:pt>
                <c:pt idx="1">
                  <c:v>Ibadan</c:v>
                </c:pt>
                <c:pt idx="2">
                  <c:v>Ife</c:v>
                </c:pt>
                <c:pt idx="3">
                  <c:v>Lagos</c:v>
                </c:pt>
                <c:pt idx="4">
                  <c:v>Osogbo</c:v>
                </c:pt>
              </c:strCache>
            </c:strRef>
          </c:cat>
          <c:val>
            <c:numRef>
              <c:f>Sheet4!$I$100:$I$105</c:f>
              <c:numCache>
                <c:formatCode>General</c:formatCode>
                <c:ptCount val="5"/>
                <c:pt idx="1">
                  <c:v>3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</c:ser>
        <c:ser>
          <c:idx val="8"/>
          <c:order val="8"/>
          <c:tx>
            <c:strRef>
              <c:f>Sheet4!$J$98:$J$99</c:f>
              <c:strCache>
                <c:ptCount val="1"/>
                <c:pt idx="0">
                  <c:v>Product</c:v>
                </c:pt>
              </c:strCache>
            </c:strRef>
          </c:tx>
          <c:cat>
            <c:strRef>
              <c:f>Sheet4!$A$100:$A$105</c:f>
              <c:strCache>
                <c:ptCount val="5"/>
                <c:pt idx="0">
                  <c:v>City</c:v>
                </c:pt>
                <c:pt idx="1">
                  <c:v>Ibadan</c:v>
                </c:pt>
                <c:pt idx="2">
                  <c:v>Ife</c:v>
                </c:pt>
                <c:pt idx="3">
                  <c:v>Lagos</c:v>
                </c:pt>
                <c:pt idx="4">
                  <c:v>Osogbo</c:v>
                </c:pt>
              </c:strCache>
            </c:strRef>
          </c:cat>
          <c:val>
            <c:numRef>
              <c:f>Sheet4!$J$100:$J$105</c:f>
              <c:numCache>
                <c:formatCode>General</c:formatCode>
                <c:ptCount val="5"/>
                <c:pt idx="0">
                  <c:v>1</c:v>
                </c:pt>
              </c:numCache>
            </c:numRef>
          </c:val>
        </c:ser>
        <c:ser>
          <c:idx val="9"/>
          <c:order val="9"/>
          <c:tx>
            <c:strRef>
              <c:f>Sheet4!$K$98:$K$99</c:f>
              <c:strCache>
                <c:ptCount val="1"/>
                <c:pt idx="0">
                  <c:v>Rice 5kg</c:v>
                </c:pt>
              </c:strCache>
            </c:strRef>
          </c:tx>
          <c:cat>
            <c:strRef>
              <c:f>Sheet4!$A$100:$A$105</c:f>
              <c:strCache>
                <c:ptCount val="5"/>
                <c:pt idx="0">
                  <c:v>City</c:v>
                </c:pt>
                <c:pt idx="1">
                  <c:v>Ibadan</c:v>
                </c:pt>
                <c:pt idx="2">
                  <c:v>Ife</c:v>
                </c:pt>
                <c:pt idx="3">
                  <c:v>Lagos</c:v>
                </c:pt>
                <c:pt idx="4">
                  <c:v>Osogbo</c:v>
                </c:pt>
              </c:strCache>
            </c:strRef>
          </c:cat>
          <c:val>
            <c:numRef>
              <c:f>Sheet4!$K$100:$K$105</c:f>
              <c:numCache>
                <c:formatCode>General</c:formatCode>
                <c:ptCount val="5"/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</c:ser>
        <c:ser>
          <c:idx val="10"/>
          <c:order val="10"/>
          <c:tx>
            <c:strRef>
              <c:f>Sheet4!$L$98:$L$99</c:f>
              <c:strCache>
                <c:ptCount val="1"/>
                <c:pt idx="0">
                  <c:v>Soft Drink</c:v>
                </c:pt>
              </c:strCache>
            </c:strRef>
          </c:tx>
          <c:cat>
            <c:strRef>
              <c:f>Sheet4!$A$100:$A$105</c:f>
              <c:strCache>
                <c:ptCount val="5"/>
                <c:pt idx="0">
                  <c:v>City</c:v>
                </c:pt>
                <c:pt idx="1">
                  <c:v>Ibadan</c:v>
                </c:pt>
                <c:pt idx="2">
                  <c:v>Ife</c:v>
                </c:pt>
                <c:pt idx="3">
                  <c:v>Lagos</c:v>
                </c:pt>
                <c:pt idx="4">
                  <c:v>Osogbo</c:v>
                </c:pt>
              </c:strCache>
            </c:strRef>
          </c:cat>
          <c:val>
            <c:numRef>
              <c:f>Sheet4!$L$100:$L$105</c:f>
              <c:numCache>
                <c:formatCode>General</c:formatCode>
                <c:ptCount val="5"/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4</c:v>
                </c:pt>
              </c:numCache>
            </c:numRef>
          </c:val>
        </c:ser>
        <c:ser>
          <c:idx val="11"/>
          <c:order val="11"/>
          <c:tx>
            <c:strRef>
              <c:f>Sheet4!$M$98:$M$99</c:f>
              <c:strCache>
                <c:ptCount val="1"/>
                <c:pt idx="0">
                  <c:v>Vegetable Oil 1L</c:v>
                </c:pt>
              </c:strCache>
            </c:strRef>
          </c:tx>
          <c:cat>
            <c:strRef>
              <c:f>Sheet4!$A$100:$A$105</c:f>
              <c:strCache>
                <c:ptCount val="5"/>
                <c:pt idx="0">
                  <c:v>City</c:v>
                </c:pt>
                <c:pt idx="1">
                  <c:v>Ibadan</c:v>
                </c:pt>
                <c:pt idx="2">
                  <c:v>Ife</c:v>
                </c:pt>
                <c:pt idx="3">
                  <c:v>Lagos</c:v>
                </c:pt>
                <c:pt idx="4">
                  <c:v>Osogbo</c:v>
                </c:pt>
              </c:strCache>
            </c:strRef>
          </c:cat>
          <c:val>
            <c:numRef>
              <c:f>Sheet4!$M$100:$M$105</c:f>
              <c:numCache>
                <c:formatCode>General</c:formatCode>
                <c:ptCount val="5"/>
                <c:pt idx="2">
                  <c:v>4</c:v>
                </c:pt>
                <c:pt idx="3">
                  <c:v>1</c:v>
                </c:pt>
              </c:numCache>
            </c:numRef>
          </c:val>
        </c:ser>
        <c:ser>
          <c:idx val="12"/>
          <c:order val="12"/>
          <c:tx>
            <c:strRef>
              <c:f>Sheet4!$N$98:$N$99</c:f>
              <c:strCache>
                <c:ptCount val="1"/>
                <c:pt idx="0">
                  <c:v>Yoghurt</c:v>
                </c:pt>
              </c:strCache>
            </c:strRef>
          </c:tx>
          <c:cat>
            <c:strRef>
              <c:f>Sheet4!$A$100:$A$105</c:f>
              <c:strCache>
                <c:ptCount val="5"/>
                <c:pt idx="0">
                  <c:v>City</c:v>
                </c:pt>
                <c:pt idx="1">
                  <c:v>Ibadan</c:v>
                </c:pt>
                <c:pt idx="2">
                  <c:v>Ife</c:v>
                </c:pt>
                <c:pt idx="3">
                  <c:v>Lagos</c:v>
                </c:pt>
                <c:pt idx="4">
                  <c:v>Osogbo</c:v>
                </c:pt>
              </c:strCache>
            </c:strRef>
          </c:cat>
          <c:val>
            <c:numRef>
              <c:f>Sheet4!$N$100:$N$105</c:f>
              <c:numCache>
                <c:formatCode>General</c:formatCode>
                <c:ptCount val="5"/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</c:ser>
        <c:axId val="138465280"/>
        <c:axId val="138466816"/>
      </c:barChart>
      <c:catAx>
        <c:axId val="138465280"/>
        <c:scaling>
          <c:orientation val="minMax"/>
        </c:scaling>
        <c:axPos val="b"/>
        <c:tickLblPos val="nextTo"/>
        <c:crossAx val="138466816"/>
        <c:crosses val="autoZero"/>
        <c:auto val="1"/>
        <c:lblAlgn val="ctr"/>
        <c:lblOffset val="100"/>
      </c:catAx>
      <c:valAx>
        <c:axId val="138466816"/>
        <c:scaling>
          <c:orientation val="minMax"/>
        </c:scaling>
        <c:axPos val="l"/>
        <c:majorGridlines/>
        <c:numFmt formatCode="General" sourceLinked="1"/>
        <c:tickLblPos val="nextTo"/>
        <c:crossAx val="138465280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[FreshMart_Supermarket_Sales_Fully Cleaned Data GITHUB XLXS.xlsx]Sheet4!PivotTable19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Revenue</a:t>
            </a:r>
            <a:r>
              <a:rPr lang="en-US" baseline="0"/>
              <a:t> by City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Sheet4!$O$33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Sheet4!$N$34:$N$38</c:f>
              <c:strCache>
                <c:ptCount val="4"/>
                <c:pt idx="0">
                  <c:v>Ibadan</c:v>
                </c:pt>
                <c:pt idx="1">
                  <c:v>Ife</c:v>
                </c:pt>
                <c:pt idx="2">
                  <c:v>Lagos</c:v>
                </c:pt>
                <c:pt idx="3">
                  <c:v>Osogbo</c:v>
                </c:pt>
              </c:strCache>
            </c:strRef>
          </c:cat>
          <c:val>
            <c:numRef>
              <c:f>Sheet4!$O$34:$O$38</c:f>
              <c:numCache>
                <c:formatCode>General</c:formatCode>
                <c:ptCount val="4"/>
                <c:pt idx="0">
                  <c:v>293900</c:v>
                </c:pt>
                <c:pt idx="1">
                  <c:v>202100</c:v>
                </c:pt>
                <c:pt idx="2">
                  <c:v>308500</c:v>
                </c:pt>
                <c:pt idx="3">
                  <c:v>209400</c:v>
                </c:pt>
              </c:numCache>
            </c:numRef>
          </c:val>
        </c:ser>
        <c:axId val="138822016"/>
        <c:axId val="138868224"/>
      </c:barChart>
      <c:catAx>
        <c:axId val="138822016"/>
        <c:scaling>
          <c:orientation val="minMax"/>
        </c:scaling>
        <c:axPos val="b"/>
        <c:majorTickMark val="none"/>
        <c:tickLblPos val="nextTo"/>
        <c:crossAx val="138868224"/>
        <c:crosses val="autoZero"/>
        <c:auto val="1"/>
        <c:lblAlgn val="ctr"/>
        <c:lblOffset val="100"/>
      </c:catAx>
      <c:valAx>
        <c:axId val="138868224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3882201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[FreshMart_Supermarket_Sales_Fully Cleaned Data GITHUB XLXS.xlsx]Sheet4!PivotTable21</c:name>
    <c:fmtId val="1"/>
  </c:pivotSource>
  <c:chart>
    <c:autoTitleDeleted val="1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Sheet4!$F$18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Sheet4!$E$19:$E$31</c:f>
              <c:strCache>
                <c:ptCount val="12"/>
                <c:pt idx="0">
                  <c:v>Biscuits</c:v>
                </c:pt>
                <c:pt idx="1">
                  <c:v>Bottled Water</c:v>
                </c:pt>
                <c:pt idx="2">
                  <c:v>Bread</c:v>
                </c:pt>
                <c:pt idx="3">
                  <c:v>Coffee</c:v>
                </c:pt>
                <c:pt idx="4">
                  <c:v>Eggs (12)</c:v>
                </c:pt>
                <c:pt idx="5">
                  <c:v>Laundry Detergent</c:v>
                </c:pt>
                <c:pt idx="6">
                  <c:v>Milk 1L</c:v>
                </c:pt>
                <c:pt idx="7">
                  <c:v>Potato Chips</c:v>
                </c:pt>
                <c:pt idx="8">
                  <c:v>Rice 5kg</c:v>
                </c:pt>
                <c:pt idx="9">
                  <c:v>Soft Drink</c:v>
                </c:pt>
                <c:pt idx="10">
                  <c:v>Vegetable Oil 1L</c:v>
                </c:pt>
                <c:pt idx="11">
                  <c:v>Yoghurt</c:v>
                </c:pt>
              </c:strCache>
            </c:strRef>
          </c:cat>
          <c:val>
            <c:numRef>
              <c:f>Sheet4!$F$19:$F$31</c:f>
              <c:numCache>
                <c:formatCode>General</c:formatCode>
                <c:ptCount val="12"/>
                <c:pt idx="0">
                  <c:v>40800</c:v>
                </c:pt>
                <c:pt idx="1">
                  <c:v>9000</c:v>
                </c:pt>
                <c:pt idx="2">
                  <c:v>57600</c:v>
                </c:pt>
                <c:pt idx="3">
                  <c:v>229500</c:v>
                </c:pt>
                <c:pt idx="4">
                  <c:v>96600</c:v>
                </c:pt>
                <c:pt idx="5">
                  <c:v>87400</c:v>
                </c:pt>
                <c:pt idx="6">
                  <c:v>30800</c:v>
                </c:pt>
                <c:pt idx="7">
                  <c:v>30600</c:v>
                </c:pt>
                <c:pt idx="8">
                  <c:v>306000</c:v>
                </c:pt>
                <c:pt idx="9">
                  <c:v>35000</c:v>
                </c:pt>
                <c:pt idx="10">
                  <c:v>57600</c:v>
                </c:pt>
                <c:pt idx="11">
                  <c:v>33000</c:v>
                </c:pt>
              </c:numCache>
            </c:numRef>
          </c:val>
        </c:ser>
        <c:gapWidth val="300"/>
        <c:axId val="138953856"/>
        <c:axId val="138955776"/>
      </c:barChart>
      <c:catAx>
        <c:axId val="1389538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</a:t>
                </a:r>
                <a:r>
                  <a:rPr lang="en-US" baseline="0"/>
                  <a:t> by Product</a:t>
                </a:r>
                <a:endParaRPr lang="en-US"/>
              </a:p>
            </c:rich>
          </c:tx>
          <c:layout/>
        </c:title>
        <c:majorTickMark val="none"/>
        <c:tickLblPos val="nextTo"/>
        <c:crossAx val="138955776"/>
        <c:crosses val="autoZero"/>
        <c:auto val="1"/>
        <c:lblAlgn val="ctr"/>
        <c:lblOffset val="100"/>
      </c:catAx>
      <c:valAx>
        <c:axId val="138955776"/>
        <c:scaling>
          <c:orientation val="minMax"/>
        </c:scaling>
        <c:axPos val="l"/>
        <c:majorGridlines/>
        <c:minorGridlines/>
        <c:numFmt formatCode="General" sourceLinked="1"/>
        <c:tickLblPos val="nextTo"/>
        <c:crossAx val="13895385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[FreshMart_Supermarket_Sales_Fully Cleaned Data GITHUB XLXS.xlsx]Sheet8!PivotTable9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Monthly</a:t>
            </a:r>
            <a:r>
              <a:rPr lang="en-US" baseline="0"/>
              <a:t> Revenue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Sheet8!$B$1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Sheet8!$A$2:$A$7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Sheet8!$B$2:$B$7</c:f>
              <c:numCache>
                <c:formatCode>General</c:formatCode>
                <c:ptCount val="5"/>
                <c:pt idx="0">
                  <c:v>289600</c:v>
                </c:pt>
                <c:pt idx="1">
                  <c:v>170700</c:v>
                </c:pt>
                <c:pt idx="2">
                  <c:v>159200</c:v>
                </c:pt>
                <c:pt idx="3">
                  <c:v>224500</c:v>
                </c:pt>
                <c:pt idx="4">
                  <c:v>169900</c:v>
                </c:pt>
              </c:numCache>
            </c:numRef>
          </c:val>
        </c:ser>
        <c:axId val="138991872"/>
        <c:axId val="139022336"/>
      </c:barChart>
      <c:catAx>
        <c:axId val="138991872"/>
        <c:scaling>
          <c:orientation val="minMax"/>
        </c:scaling>
        <c:axPos val="b"/>
        <c:tickLblPos val="nextTo"/>
        <c:crossAx val="139022336"/>
        <c:crosses val="autoZero"/>
        <c:auto val="1"/>
        <c:lblAlgn val="ctr"/>
        <c:lblOffset val="100"/>
      </c:catAx>
      <c:valAx>
        <c:axId val="139022336"/>
        <c:scaling>
          <c:orientation val="minMax"/>
        </c:scaling>
        <c:axPos val="l"/>
        <c:majorGridlines/>
        <c:numFmt formatCode="General" sourceLinked="1"/>
        <c:tickLblPos val="nextTo"/>
        <c:crossAx val="13899187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[FreshMart_Supermarket_Sales_Fully Cleaned Data GITHUB XLXS.xlsx]Sheet8!PivotTable10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Revenue</a:t>
            </a:r>
            <a:r>
              <a:rPr lang="en-US" baseline="0"/>
              <a:t> by Category</a:t>
            </a:r>
            <a:endParaRPr lang="en-US"/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Sheet8!$G$5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Sheet8!$F$6:$F$12</c:f>
              <c:strCache>
                <c:ptCount val="6"/>
                <c:pt idx="0">
                  <c:v>Bakery</c:v>
                </c:pt>
                <c:pt idx="1">
                  <c:v>Beverages</c:v>
                </c:pt>
                <c:pt idx="2">
                  <c:v>Dairy</c:v>
                </c:pt>
                <c:pt idx="3">
                  <c:v>Groceries</c:v>
                </c:pt>
                <c:pt idx="4">
                  <c:v>Household</c:v>
                </c:pt>
                <c:pt idx="5">
                  <c:v>Snacks</c:v>
                </c:pt>
              </c:strCache>
            </c:strRef>
          </c:cat>
          <c:val>
            <c:numRef>
              <c:f>Sheet8!$G$6:$G$12</c:f>
              <c:numCache>
                <c:formatCode>General</c:formatCode>
                <c:ptCount val="6"/>
                <c:pt idx="0">
                  <c:v>57600</c:v>
                </c:pt>
                <c:pt idx="1">
                  <c:v>273500</c:v>
                </c:pt>
                <c:pt idx="2">
                  <c:v>160400</c:v>
                </c:pt>
                <c:pt idx="3">
                  <c:v>363600</c:v>
                </c:pt>
                <c:pt idx="4">
                  <c:v>87400</c:v>
                </c:pt>
                <c:pt idx="5">
                  <c:v>71400</c:v>
                </c:pt>
              </c:numCache>
            </c:numRef>
          </c:val>
        </c:ser>
        <c:axId val="139033984"/>
        <c:axId val="139035776"/>
      </c:barChart>
      <c:catAx>
        <c:axId val="139033984"/>
        <c:scaling>
          <c:orientation val="minMax"/>
        </c:scaling>
        <c:axPos val="b"/>
        <c:majorTickMark val="none"/>
        <c:tickLblPos val="nextTo"/>
        <c:crossAx val="139035776"/>
        <c:crosses val="autoZero"/>
        <c:auto val="1"/>
        <c:lblAlgn val="ctr"/>
        <c:lblOffset val="100"/>
      </c:catAx>
      <c:valAx>
        <c:axId val="139035776"/>
        <c:scaling>
          <c:orientation val="minMax"/>
        </c:scaling>
        <c:axPos val="l"/>
        <c:majorGridlines/>
        <c:numFmt formatCode="General" sourceLinked="1"/>
        <c:majorTickMark val="none"/>
        <c:tickLblPos val="nextTo"/>
        <c:crossAx val="1390339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15</xdr:row>
      <xdr:rowOff>314325</xdr:rowOff>
    </xdr:from>
    <xdr:ext cx="184731" cy="264560"/>
    <xdr:sp macro="" textlink="">
      <xdr:nvSpPr>
        <xdr:cNvPr id="2" name="TextBox 1"/>
        <xdr:cNvSpPr txBox="1"/>
      </xdr:nvSpPr>
      <xdr:spPr>
        <a:xfrm>
          <a:off x="4391025" y="31718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251114</xdr:colOff>
      <xdr:row>8</xdr:row>
      <xdr:rowOff>38100</xdr:rowOff>
    </xdr:from>
    <xdr:to>
      <xdr:col>8</xdr:col>
      <xdr:colOff>309995</xdr:colOff>
      <xdr:row>22</xdr:row>
      <xdr:rowOff>114300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493568</xdr:colOff>
      <xdr:row>98</xdr:row>
      <xdr:rowOff>121227</xdr:rowOff>
    </xdr:from>
    <xdr:to>
      <xdr:col>8</xdr:col>
      <xdr:colOff>597478</xdr:colOff>
      <xdr:row>113</xdr:row>
      <xdr:rowOff>8659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3</xdr:row>
      <xdr:rowOff>9524</xdr:rowOff>
    </xdr:from>
    <xdr:to>
      <xdr:col>2</xdr:col>
      <xdr:colOff>352425</xdr:colOff>
      <xdr:row>6</xdr:row>
      <xdr:rowOff>104776</xdr:rowOff>
    </xdr:to>
    <xdr:sp macro="" textlink="Analysis!B4">
      <xdr:nvSpPr>
        <xdr:cNvPr id="2" name="Rectangle 1"/>
        <xdr:cNvSpPr/>
      </xdr:nvSpPr>
      <xdr:spPr>
        <a:xfrm>
          <a:off x="200025" y="581024"/>
          <a:ext cx="1371600" cy="666752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fld id="{D25AF555-E1D9-431C-867A-90D8E392756F}" type="TxLink">
            <a:rPr lang="en-US"/>
            <a:pPr/>
            <a:t>1013900</a:t>
          </a:fld>
          <a:endParaRPr lang="en-US"/>
        </a:p>
      </xdr:txBody>
    </xdr:sp>
    <xdr:clientData/>
  </xdr:twoCellAnchor>
  <xdr:twoCellAnchor>
    <xdr:from>
      <xdr:col>3</xdr:col>
      <xdr:colOff>266700</xdr:colOff>
      <xdr:row>3</xdr:row>
      <xdr:rowOff>1</xdr:rowOff>
    </xdr:from>
    <xdr:to>
      <xdr:col>6</xdr:col>
      <xdr:colOff>66675</xdr:colOff>
      <xdr:row>6</xdr:row>
      <xdr:rowOff>114301</xdr:rowOff>
    </xdr:to>
    <xdr:sp macro="" textlink="Analysis!$B$9">
      <xdr:nvSpPr>
        <xdr:cNvPr id="4" name="Rectangle 3"/>
        <xdr:cNvSpPr/>
      </xdr:nvSpPr>
      <xdr:spPr>
        <a:xfrm>
          <a:off x="2095500" y="571501"/>
          <a:ext cx="1628775" cy="68580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fld id="{01B1778B-598C-4001-99FF-B6AF341F34C1}" type="TxLink">
            <a:rPr lang="en-US" sz="1100"/>
            <a:pPr algn="ctr"/>
            <a:t>99</a:t>
          </a:fld>
          <a:endParaRPr lang="en-US" sz="1100"/>
        </a:p>
      </xdr:txBody>
    </xdr:sp>
    <xdr:clientData/>
  </xdr:twoCellAnchor>
  <xdr:oneCellAnchor>
    <xdr:from>
      <xdr:col>0</xdr:col>
      <xdr:colOff>514350</xdr:colOff>
      <xdr:row>3</xdr:row>
      <xdr:rowOff>38100</xdr:rowOff>
    </xdr:from>
    <xdr:ext cx="742950" cy="264560"/>
    <xdr:sp macro="" textlink="">
      <xdr:nvSpPr>
        <xdr:cNvPr id="5" name="TextBox 4"/>
        <xdr:cNvSpPr txBox="1"/>
      </xdr:nvSpPr>
      <xdr:spPr>
        <a:xfrm>
          <a:off x="514350" y="609600"/>
          <a:ext cx="7429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100"/>
            <a:t> Revenue  </a:t>
          </a:r>
        </a:p>
      </xdr:txBody>
    </xdr:sp>
    <xdr:clientData/>
  </xdr:oneCellAnchor>
  <xdr:oneCellAnchor>
    <xdr:from>
      <xdr:col>3</xdr:col>
      <xdr:colOff>285750</xdr:colOff>
      <xdr:row>3</xdr:row>
      <xdr:rowOff>47625</xdr:rowOff>
    </xdr:from>
    <xdr:ext cx="2238692" cy="264560"/>
    <xdr:sp macro="" textlink="">
      <xdr:nvSpPr>
        <xdr:cNvPr id="6" name="TextBox 5"/>
        <xdr:cNvSpPr txBox="1"/>
      </xdr:nvSpPr>
      <xdr:spPr>
        <a:xfrm>
          <a:off x="2114550" y="619125"/>
          <a:ext cx="223869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100"/>
            <a:t>Number</a:t>
          </a:r>
          <a:r>
            <a:rPr lang="en-US" sz="1100" baseline="0"/>
            <a:t> of Transactions</a:t>
          </a:r>
          <a:endParaRPr lang="en-US" sz="1100"/>
        </a:p>
      </xdr:txBody>
    </xdr:sp>
    <xdr:clientData/>
  </xdr:oneCellAnchor>
  <xdr:twoCellAnchor>
    <xdr:from>
      <xdr:col>6</xdr:col>
      <xdr:colOff>581025</xdr:colOff>
      <xdr:row>3</xdr:row>
      <xdr:rowOff>9526</xdr:rowOff>
    </xdr:from>
    <xdr:to>
      <xdr:col>9</xdr:col>
      <xdr:colOff>133350</xdr:colOff>
      <xdr:row>6</xdr:row>
      <xdr:rowOff>123826</xdr:rowOff>
    </xdr:to>
    <xdr:sp macro="" textlink="Analysis!$B$5">
      <xdr:nvSpPr>
        <xdr:cNvPr id="7" name="Rectangle 6"/>
        <xdr:cNvSpPr/>
      </xdr:nvSpPr>
      <xdr:spPr>
        <a:xfrm>
          <a:off x="4238625" y="581026"/>
          <a:ext cx="1381125" cy="685800"/>
        </a:xfrm>
        <a:prstGeom prst="rect">
          <a:avLst/>
        </a:prstGeom>
        <a:solidFill>
          <a:schemeClr val="accent3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fld id="{AF946200-F303-4DE6-8AB0-9DD99D428AA2}" type="TxLink">
            <a:rPr lang="en-US" sz="1100"/>
            <a:pPr algn="ctr"/>
            <a:t>320</a:t>
          </a:fld>
          <a:endParaRPr lang="en-US" sz="1100"/>
        </a:p>
      </xdr:txBody>
    </xdr:sp>
    <xdr:clientData/>
  </xdr:twoCellAnchor>
  <xdr:oneCellAnchor>
    <xdr:from>
      <xdr:col>7</xdr:col>
      <xdr:colOff>104775</xdr:colOff>
      <xdr:row>3</xdr:row>
      <xdr:rowOff>57150</xdr:rowOff>
    </xdr:from>
    <xdr:ext cx="1582851" cy="264560"/>
    <xdr:sp macro="" textlink="">
      <xdr:nvSpPr>
        <xdr:cNvPr id="8" name="TextBox 7"/>
        <xdr:cNvSpPr txBox="1"/>
      </xdr:nvSpPr>
      <xdr:spPr>
        <a:xfrm>
          <a:off x="4371975" y="628650"/>
          <a:ext cx="158285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100"/>
            <a:t>Quantity Sold</a:t>
          </a:r>
        </a:p>
      </xdr:txBody>
    </xdr:sp>
    <xdr:clientData/>
  </xdr:oneCellAnchor>
  <xdr:twoCellAnchor>
    <xdr:from>
      <xdr:col>10</xdr:col>
      <xdr:colOff>76200</xdr:colOff>
      <xdr:row>3</xdr:row>
      <xdr:rowOff>19051</xdr:rowOff>
    </xdr:from>
    <xdr:to>
      <xdr:col>12</xdr:col>
      <xdr:colOff>600075</xdr:colOff>
      <xdr:row>6</xdr:row>
      <xdr:rowOff>133350</xdr:rowOff>
    </xdr:to>
    <xdr:sp macro="" textlink="Analysis!$B$6">
      <xdr:nvSpPr>
        <xdr:cNvPr id="10" name="Rectangle 9"/>
        <xdr:cNvSpPr/>
      </xdr:nvSpPr>
      <xdr:spPr>
        <a:xfrm>
          <a:off x="6172200" y="590551"/>
          <a:ext cx="1743075" cy="685799"/>
        </a:xfrm>
        <a:prstGeom prst="rect">
          <a:avLst/>
        </a:prstGeom>
        <a:solidFill>
          <a:schemeClr val="accent3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fld id="{5FDD0D82-DC2D-4870-9718-C4444151A70D}" type="TxLink">
            <a:rPr lang="en-US" sz="1100"/>
            <a:pPr algn="ctr"/>
            <a:t>10241.41</a:t>
          </a:fld>
          <a:endParaRPr lang="en-US" sz="1100"/>
        </a:p>
      </xdr:txBody>
    </xdr:sp>
    <xdr:clientData/>
  </xdr:twoCellAnchor>
  <xdr:oneCellAnchor>
    <xdr:from>
      <xdr:col>10</xdr:col>
      <xdr:colOff>95250</xdr:colOff>
      <xdr:row>3</xdr:row>
      <xdr:rowOff>85725</xdr:rowOff>
    </xdr:from>
    <xdr:ext cx="2404711" cy="264560"/>
    <xdr:sp macro="" textlink="">
      <xdr:nvSpPr>
        <xdr:cNvPr id="11" name="TextBox 10"/>
        <xdr:cNvSpPr txBox="1"/>
      </xdr:nvSpPr>
      <xdr:spPr>
        <a:xfrm>
          <a:off x="6191250" y="657225"/>
          <a:ext cx="240471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100"/>
            <a:t>Average Transaction</a:t>
          </a:r>
          <a:r>
            <a:rPr lang="en-US" sz="1100" baseline="0"/>
            <a:t> Value</a:t>
          </a:r>
          <a:endParaRPr lang="en-US" sz="1100"/>
        </a:p>
      </xdr:txBody>
    </xdr:sp>
    <xdr:clientData/>
  </xdr:oneCellAnchor>
  <xdr:twoCellAnchor>
    <xdr:from>
      <xdr:col>8</xdr:col>
      <xdr:colOff>57150</xdr:colOff>
      <xdr:row>27</xdr:row>
      <xdr:rowOff>9525</xdr:rowOff>
    </xdr:from>
    <xdr:to>
      <xdr:col>14</xdr:col>
      <xdr:colOff>361949</xdr:colOff>
      <xdr:row>41</xdr:row>
      <xdr:rowOff>123825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26</xdr:row>
      <xdr:rowOff>180975</xdr:rowOff>
    </xdr:from>
    <xdr:to>
      <xdr:col>7</xdr:col>
      <xdr:colOff>228600</xdr:colOff>
      <xdr:row>41</xdr:row>
      <xdr:rowOff>123824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180974</xdr:colOff>
      <xdr:row>11</xdr:row>
      <xdr:rowOff>142876</xdr:rowOff>
    </xdr:from>
    <xdr:to>
      <xdr:col>6</xdr:col>
      <xdr:colOff>590550</xdr:colOff>
      <xdr:row>25</xdr:row>
      <xdr:rowOff>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11</xdr:row>
      <xdr:rowOff>152402</xdr:rowOff>
    </xdr:from>
    <xdr:to>
      <xdr:col>14</xdr:col>
      <xdr:colOff>352426</xdr:colOff>
      <xdr:row>25</xdr:row>
      <xdr:rowOff>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78.416809374998" createdVersion="3" refreshedVersion="3" minRefreshableVersion="3" recordCount="101">
  <cacheSource type="worksheet">
    <worksheetSource name="Table1"/>
  </cacheSource>
  <cacheFields count="11">
    <cacheField name="Column1" numFmtId="0">
      <sharedItems containsBlank="1" count="101">
        <s v="Order ID"/>
        <s v="FM0001"/>
        <s v="FM0002"/>
        <s v="FM0003"/>
        <s v="FM0004"/>
        <s v="FM0005"/>
        <s v="FM0006"/>
        <s v="FM0007"/>
        <s v="FM0008"/>
        <s v="FM0009"/>
        <s v="FM0010"/>
        <s v="FM0011"/>
        <s v="FM0012"/>
        <s v="FM0013"/>
        <s v="FM0014"/>
        <s v="FM0015"/>
        <s v="FM0016"/>
        <s v="FM0017"/>
        <s v="FM0018"/>
        <s v="FM0019"/>
        <s v="FM0020"/>
        <s v="FM0021"/>
        <s v="FM0022"/>
        <s v="FM0023"/>
        <s v="FM0024"/>
        <s v="FM0025"/>
        <s v="FM0026"/>
        <s v="FM0027"/>
        <s v="FM0028"/>
        <s v="FM0029"/>
        <s v="FM0030"/>
        <s v="FM0031"/>
        <s v="FM0032"/>
        <s v="FM0033"/>
        <s v="FM0034"/>
        <s v="FM0035"/>
        <s v="FM0036"/>
        <s v="FM0037"/>
        <s v="FM0038"/>
        <s v="FM0039"/>
        <s v="FM0040"/>
        <s v="FM0041"/>
        <s v="FM0042"/>
        <s v="FM0043"/>
        <s v="FM0044"/>
        <s v="FM0045"/>
        <s v="FM0046"/>
        <s v="FM0047"/>
        <s v="FM0048"/>
        <s v="FM0049"/>
        <s v="FM0050"/>
        <s v="FM0051"/>
        <s v="FM0052"/>
        <s v="FM0053"/>
        <s v="FM0054"/>
        <s v="FM0055"/>
        <s v="FM0056"/>
        <s v="FM0057"/>
        <s v="FM0058"/>
        <s v="FM0059"/>
        <s v="FM0060"/>
        <s v="FM0061"/>
        <s v="FM0062"/>
        <s v="FM0063"/>
        <s v="FM0064"/>
        <s v="FM0065"/>
        <s v="FM0066"/>
        <s v="FM0067"/>
        <s v="FM0068"/>
        <s v="FM0069"/>
        <s v="FM0070"/>
        <s v="FM0071"/>
        <s v="FM0072"/>
        <s v="FM0073"/>
        <s v="FM0074"/>
        <s v="FM0075"/>
        <s v="FM0076"/>
        <s v="FM0077"/>
        <s v="FM0078"/>
        <s v="FM0079"/>
        <s v="FM0080"/>
        <s v="FM0081"/>
        <s v="FM0082"/>
        <s v="FM0083"/>
        <s v="FM0084"/>
        <s v="FM0085"/>
        <s v="FM0086"/>
        <s v="FM0087"/>
        <s v="FM0088"/>
        <s v="FM0089"/>
        <s v="FM0090"/>
        <s v="FM0091"/>
        <s v="FM0092"/>
        <s v="FM0093"/>
        <s v="FM0094"/>
        <s v="FM0095"/>
        <s v="FM0096"/>
        <s v="FM0097"/>
        <s v="FM0098"/>
        <s v="FM0099"/>
        <m/>
      </sharedItems>
    </cacheField>
    <cacheField name="Column2" numFmtId="22">
      <sharedItems containsDate="1" containsBlank="1" containsMixedTypes="1" minDate="2026-01-01T00:00:00" maxDate="2026-05-31T00:00:00"/>
    </cacheField>
    <cacheField name="Column3" numFmtId="0">
      <sharedItems containsBlank="1" count="14">
        <s v="Product"/>
        <s v="Coffee"/>
        <s v="Bread"/>
        <s v="Rice 5kg"/>
        <s v="Laundry Detergent"/>
        <s v="Vegetable Oil 1L"/>
        <s v="Soft Drink"/>
        <s v="Bottled Water"/>
        <s v="Eggs (12)"/>
        <s v="Potato Chips"/>
        <s v="Biscuits"/>
        <s v="Yoghurt"/>
        <s v="Milk 1L"/>
        <m/>
      </sharedItems>
    </cacheField>
    <cacheField name="Column4" numFmtId="0">
      <sharedItems containsBlank="1" count="8">
        <s v="Category"/>
        <s v="Beverages"/>
        <s v="Bakery"/>
        <s v="Groceries"/>
        <s v="Household"/>
        <s v="Dairy"/>
        <s v="Snacks"/>
        <m/>
      </sharedItems>
    </cacheField>
    <cacheField name="Column5" numFmtId="0">
      <sharedItems containsBlank="1" containsMixedTypes="1" containsNumber="1" containsInteger="1" minValue="1" maxValue="6" count="8">
        <s v="Quantity"/>
        <n v="1"/>
        <n v="6"/>
        <n v="2"/>
        <n v="4"/>
        <n v="3"/>
        <n v="5"/>
        <m/>
      </sharedItems>
    </cacheField>
    <cacheField name="Column6" numFmtId="0">
      <sharedItems containsBlank="1" containsMixedTypes="1" containsNumber="1" containsInteger="1" minValue="500" maxValue="8500"/>
    </cacheField>
    <cacheField name="Column7" numFmtId="0">
      <sharedItems containsBlank="1" containsMixedTypes="1" containsNumber="1" containsInteger="1" minValue="1000" maxValue="51000" count="43">
        <s v="Sales Amount"/>
        <n v="4500"/>
        <n v="10800"/>
        <n v="17000"/>
        <n v="15200"/>
        <n v="51000"/>
        <n v="5400"/>
        <n v="9600"/>
        <n v="4000"/>
        <n v="3000"/>
        <n v="8400"/>
        <n v="3600"/>
        <n v="27000"/>
        <n v="7200"/>
        <n v="8500"/>
        <n v="16000"/>
        <n v="2400"/>
        <n v="19000"/>
        <n v="19200"/>
        <n v="6000"/>
        <n v="5000"/>
        <n v="25500"/>
        <n v="2800"/>
        <n v="2000"/>
        <n v="18000"/>
        <n v="5600"/>
        <n v="1200"/>
        <n v="4800"/>
        <n v="1800"/>
        <n v="25200"/>
        <n v="4200"/>
        <n v="34000"/>
        <n v="9000"/>
        <n v="6400"/>
        <n v="22500"/>
        <n v="7600"/>
        <n v="13500"/>
        <n v="1500"/>
        <n v="1000"/>
        <n v="7500"/>
        <n v="11200"/>
        <n v="12600"/>
        <m/>
      </sharedItems>
    </cacheField>
    <cacheField name="Column8" numFmtId="0">
      <sharedItems containsBlank="1" count="6">
        <s v="Payment Method"/>
        <s v="Transfer"/>
        <s v="Cash"/>
        <s v="Card"/>
        <s v="POS"/>
        <m/>
      </sharedItems>
    </cacheField>
    <cacheField name="Column9" numFmtId="0">
      <sharedItems containsBlank="1" count="4">
        <s v="Customer Type"/>
        <s v="Regular"/>
        <s v="New"/>
        <m/>
      </sharedItems>
    </cacheField>
    <cacheField name="Column10" numFmtId="0">
      <sharedItems containsBlank="1" count="6">
        <s v="City"/>
        <s v="Ibadan"/>
        <s v="Lagos"/>
        <s v="Osogbo"/>
        <s v="Ife"/>
        <m/>
      </sharedItems>
    </cacheField>
    <cacheField name="Column11" numFmtId="0">
      <sharedItems containsBlank="1" count="7">
        <s v="Formatted Date"/>
        <s v="January"/>
        <s v="May"/>
        <s v="February"/>
        <s v="April"/>
        <s v="March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6278.648335300924" createdVersion="3" refreshedVersion="3" minRefreshableVersion="3" recordCount="98">
  <cacheSource type="worksheet">
    <worksheetSource ref="A3:K101" sheet="Cleaned Data"/>
  </cacheSource>
  <cacheFields count="11">
    <cacheField name="FM0001" numFmtId="0">
      <sharedItems count="98">
        <s v="FM0002"/>
        <s v="FM0003"/>
        <s v="FM0004"/>
        <s v="FM0005"/>
        <s v="FM0006"/>
        <s v="FM0007"/>
        <s v="FM0008"/>
        <s v="FM0009"/>
        <s v="FM0010"/>
        <s v="FM0011"/>
        <s v="FM0012"/>
        <s v="FM0013"/>
        <s v="FM0014"/>
        <s v="FM0015"/>
        <s v="FM0016"/>
        <s v="FM0017"/>
        <s v="FM0018"/>
        <s v="FM0019"/>
        <s v="FM0020"/>
        <s v="FM0021"/>
        <s v="FM0022"/>
        <s v="FM0023"/>
        <s v="FM0024"/>
        <s v="FM0025"/>
        <s v="FM0026"/>
        <s v="FM0027"/>
        <s v="FM0028"/>
        <s v="FM0029"/>
        <s v="FM0030"/>
        <s v="FM0031"/>
        <s v="FM0032"/>
        <s v="FM0033"/>
        <s v="FM0034"/>
        <s v="FM0035"/>
        <s v="FM0036"/>
        <s v="FM0037"/>
        <s v="FM0038"/>
        <s v="FM0039"/>
        <s v="FM0040"/>
        <s v="FM0041"/>
        <s v="FM0042"/>
        <s v="FM0043"/>
        <s v="FM0044"/>
        <s v="FM0045"/>
        <s v="FM0046"/>
        <s v="FM0047"/>
        <s v="FM0048"/>
        <s v="FM0049"/>
        <s v="FM0050"/>
        <s v="FM0051"/>
        <s v="FM0052"/>
        <s v="FM0053"/>
        <s v="FM0054"/>
        <s v="FM0055"/>
        <s v="FM0056"/>
        <s v="FM0057"/>
        <s v="FM0058"/>
        <s v="FM0059"/>
        <s v="FM0060"/>
        <s v="FM0061"/>
        <s v="FM0062"/>
        <s v="FM0063"/>
        <s v="FM0064"/>
        <s v="FM0065"/>
        <s v="FM0066"/>
        <s v="FM0067"/>
        <s v="FM0068"/>
        <s v="FM0069"/>
        <s v="FM0070"/>
        <s v="FM0071"/>
        <s v="FM0072"/>
        <s v="FM0073"/>
        <s v="FM0074"/>
        <s v="FM0075"/>
        <s v="FM0076"/>
        <s v="FM0077"/>
        <s v="FM0078"/>
        <s v="FM0079"/>
        <s v="FM0080"/>
        <s v="FM0081"/>
        <s v="FM0082"/>
        <s v="FM0083"/>
        <s v="FM0084"/>
        <s v="FM0085"/>
        <s v="FM0086"/>
        <s v="FM0087"/>
        <s v="FM0088"/>
        <s v="FM0089"/>
        <s v="FM0090"/>
        <s v="FM0091"/>
        <s v="FM0092"/>
        <s v="FM0093"/>
        <s v="FM0094"/>
        <s v="FM0095"/>
        <s v="FM0096"/>
        <s v="FM0097"/>
        <s v="FM0098"/>
        <s v="FM0099"/>
      </sharedItems>
    </cacheField>
    <cacheField name="1/29/2026 0:00" numFmtId="22">
      <sharedItems containsSemiMixedTypes="0" containsNonDate="0" containsDate="1" containsString="0" minDate="2026-01-01T00:00:00" maxDate="2026-05-31T00:00:00" count="71">
        <d v="2026-01-27T00:00:00"/>
        <d v="2026-01-24T00:00:00"/>
        <d v="2026-05-20T00:00:00"/>
        <d v="2026-02-10T00:00:00"/>
        <d v="2026-02-25T00:00:00"/>
        <d v="2026-04-02T00:00:00"/>
        <d v="2026-02-01T00:00:00"/>
        <d v="2026-02-19T00:00:00"/>
        <d v="2026-01-21T00:00:00"/>
        <d v="2026-04-04T00:00:00"/>
        <d v="2026-03-10T00:00:00"/>
        <d v="2026-04-29T00:00:00"/>
        <d v="2026-02-28T00:00:00"/>
        <d v="2026-02-24T00:00:00"/>
        <d v="2026-04-28T00:00:00"/>
        <d v="2026-05-24T00:00:00"/>
        <d v="2026-02-26T00:00:00"/>
        <d v="2026-02-09T00:00:00"/>
        <d v="2026-04-08T00:00:00"/>
        <d v="2026-01-30T00:00:00"/>
        <d v="2026-04-22T00:00:00"/>
        <d v="2026-02-15T00:00:00"/>
        <d v="2026-04-06T00:00:00"/>
        <d v="2026-01-29T00:00:00"/>
        <d v="2026-05-26T00:00:00"/>
        <d v="2026-02-02T00:00:00"/>
        <d v="2026-04-19T00:00:00"/>
        <d v="2026-01-17T00:00:00"/>
        <d v="2026-01-19T00:00:00"/>
        <d v="2026-03-26T00:00:00"/>
        <d v="2026-05-19T00:00:00"/>
        <d v="2026-02-18T00:00:00"/>
        <d v="2026-04-16T00:00:00"/>
        <d v="2026-03-28T00:00:00"/>
        <d v="2026-04-25T00:00:00"/>
        <d v="2026-03-05T00:00:00"/>
        <d v="2026-05-05T00:00:00"/>
        <d v="2026-05-30T00:00:00"/>
        <d v="2026-01-18T00:00:00"/>
        <d v="2026-03-22T00:00:00"/>
        <d v="2026-03-18T00:00:00"/>
        <d v="2026-05-25T00:00:00"/>
        <d v="2026-03-31T00:00:00"/>
        <d v="2026-04-23T00:00:00"/>
        <d v="2026-05-22T00:00:00"/>
        <d v="2026-03-29T00:00:00"/>
        <d v="2026-03-27T00:00:00"/>
        <d v="2026-04-20T00:00:00"/>
        <d v="2026-02-08T00:00:00"/>
        <d v="2026-02-23T00:00:00"/>
        <d v="2026-04-15T00:00:00"/>
        <d v="2026-05-01T00:00:00"/>
        <d v="2026-03-13T00:00:00"/>
        <d v="2026-05-18T00:00:00"/>
        <d v="2026-05-29T00:00:00"/>
        <d v="2026-01-12T00:00:00"/>
        <d v="2026-04-21T00:00:00"/>
        <d v="2026-03-17T00:00:00"/>
        <d v="2026-01-01T00:00:00"/>
        <d v="2026-03-24T00:00:00"/>
        <d v="2026-05-02T00:00:00"/>
        <d v="2026-02-07T00:00:00"/>
        <d v="2026-04-13T00:00:00"/>
        <d v="2026-04-27T00:00:00"/>
        <d v="2026-05-10T00:00:00"/>
        <d v="2026-03-08T00:00:00"/>
        <d v="2026-03-23T00:00:00"/>
        <d v="2026-04-18T00:00:00"/>
        <d v="2026-04-01T00:00:00"/>
        <d v="2026-05-17T00:00:00"/>
        <d v="2026-01-05T00:00:00"/>
      </sharedItems>
    </cacheField>
    <cacheField name="Coffee" numFmtId="0">
      <sharedItems count="12">
        <s v="Bread"/>
        <s v="Rice 5kg"/>
        <s v="Laundry Detergent"/>
        <s v="Vegetable Oil 1L"/>
        <s v="Soft Drink"/>
        <s v="Bottled Water"/>
        <s v="Eggs (12)"/>
        <s v="Potato Chips"/>
        <s v="Coffee"/>
        <s v="Biscuits"/>
        <s v="Yoghurt"/>
        <s v="Milk 1L"/>
      </sharedItems>
    </cacheField>
    <cacheField name="Beverages" numFmtId="0">
      <sharedItems count="6">
        <s v="Bakery"/>
        <s v="Groceries"/>
        <s v="Household"/>
        <s v="Beverages"/>
        <s v="Dairy"/>
        <s v="Snacks"/>
      </sharedItems>
    </cacheField>
    <cacheField name="1" numFmtId="0">
      <sharedItems containsSemiMixedTypes="0" containsString="0" containsNumber="1" containsInteger="1" minValue="1" maxValue="6"/>
    </cacheField>
    <cacheField name="4500" numFmtId="0">
      <sharedItems containsSemiMixedTypes="0" containsString="0" containsNumber="1" containsInteger="1" minValue="500" maxValue="8500"/>
    </cacheField>
    <cacheField name="45002" numFmtId="0">
      <sharedItems containsSemiMixedTypes="0" containsString="0" containsNumber="1" containsInteger="1" minValue="1000" maxValue="51000"/>
    </cacheField>
    <cacheField name="Transfer" numFmtId="0">
      <sharedItems/>
    </cacheField>
    <cacheField name="Regular" numFmtId="0">
      <sharedItems/>
    </cacheField>
    <cacheField name="Ibadan" numFmtId="0">
      <sharedItems count="4">
        <s v="Lagos"/>
        <s v="Ibadan"/>
        <s v="Osogbo"/>
        <s v="Ife"/>
      </sharedItems>
    </cacheField>
    <cacheField name="January" numFmtId="22">
      <sharedItems/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HP" refreshedDate="46278.649198842591" createdVersion="3" refreshedVersion="3" minRefreshableVersion="3" recordCount="13">
  <cacheSource type="worksheet">
    <worksheetSource ref="N2:O15" sheet="Sheet4"/>
  </cacheSource>
  <cacheFields count="2">
    <cacheField name="Row Labels" numFmtId="0">
      <sharedItems count="13">
        <s v="Biscuits"/>
        <s v="Bottled Water"/>
        <s v="Bread"/>
        <s v="Coffee"/>
        <s v="Eggs (12)"/>
        <s v="Laundry Detergent"/>
        <s v="Milk 1L"/>
        <s v="Potato Chips"/>
        <s v="Rice 5kg"/>
        <s v="Soft Drink"/>
        <s v="Vegetable Oil 1L"/>
        <s v="Yoghurt"/>
        <s v="Grand Total"/>
      </sharedItems>
    </cacheField>
    <cacheField name="Sum of Column7" numFmtId="0">
      <sharedItems containsSemiMixedTypes="0" containsString="0" containsNumber="1" containsInteger="1" minValue="9000" maxValue="1013900"/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HP" refreshedDate="46278.660336226851" createdVersion="3" refreshedVersion="3" minRefreshableVersion="3" recordCount="5">
  <cacheSource type="worksheet">
    <worksheetSource ref="N21:O26" sheet="Sheet4"/>
  </cacheSource>
  <cacheFields count="2">
    <cacheField name="Row Labels" numFmtId="0">
      <sharedItems count="5">
        <s v="Ibadan"/>
        <s v="Ife"/>
        <s v="Lagos"/>
        <s v="Osogbo"/>
        <s v="Grand Total"/>
      </sharedItems>
    </cacheField>
    <cacheField name="Sum of Column7" numFmtId="0">
      <sharedItems containsSemiMixedTypes="0" containsString="0" containsNumber="1" containsInteger="1" minValue="202100" maxValue="1013900"/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HP" refreshedDate="46278.665725462961" createdVersion="3" refreshedVersion="3" minRefreshableVersion="3" recordCount="12">
  <cacheSource type="worksheet">
    <worksheetSource ref="N2:O14" sheet="Sheet4"/>
  </cacheSource>
  <cacheFields count="2">
    <cacheField name="Row Labels" numFmtId="0">
      <sharedItems count="12">
        <s v="Biscuits"/>
        <s v="Bottled Water"/>
        <s v="Bread"/>
        <s v="Coffee"/>
        <s v="Eggs (12)"/>
        <s v="Laundry Detergent"/>
        <s v="Milk 1L"/>
        <s v="Potato Chips"/>
        <s v="Rice 5kg"/>
        <s v="Soft Drink"/>
        <s v="Vegetable Oil 1L"/>
        <s v="Yoghurt"/>
      </sharedItems>
    </cacheField>
    <cacheField name="Sum of Column7" numFmtId="0">
      <sharedItems containsSemiMixedTypes="0" containsString="0" containsNumber="1" containsInteger="1" minValue="9000" maxValue="306000"/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HP" refreshedDate="46283.655866898145" createdVersion="3" refreshedVersion="3" minRefreshableVersion="3" recordCount="5">
  <cacheSource type="worksheet">
    <worksheetSource ref="E23:F28" sheet="Pivot Analysis"/>
  </cacheSource>
  <cacheFields count="2">
    <cacheField name="Row Labels" numFmtId="0">
      <sharedItems count="5">
        <s v="March"/>
        <s v="May"/>
        <s v="February"/>
        <s v="April"/>
        <s v="January"/>
      </sharedItems>
    </cacheField>
    <cacheField name="Sum of Column7" numFmtId="0">
      <sharedItems containsSemiMixedTypes="0" containsString="0" containsNumber="1" containsInteger="1" minValue="159200" maxValue="289600"/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HP" refreshedDate="46283.65907962963" createdVersion="3" refreshedVersion="3" minRefreshableVersion="3" recordCount="6">
  <cacheSource type="worksheet">
    <worksheetSource ref="A23:B29" sheet="Pivot Analysis"/>
  </cacheSource>
  <cacheFields count="2">
    <cacheField name="Row Labels" numFmtId="0">
      <sharedItems count="6">
        <s v="Bakery"/>
        <s v="Snacks"/>
        <s v="Household"/>
        <s v="Dairy"/>
        <s v="Beverages"/>
        <s v="Groceries"/>
      </sharedItems>
    </cacheField>
    <cacheField name="Sum of Column7" numFmtId="0">
      <sharedItems containsSemiMixedTypes="0" containsString="0" containsNumber="1" containsInteger="1" minValue="57600" maxValue="363600"/>
    </cacheField>
  </cacheFields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r:id="rId1" refreshedBy="HP" refreshedDate="46283.661735069443" createdVersion="3" refreshedVersion="3" minRefreshableVersion="3" recordCount="100">
  <cacheSource type="worksheet">
    <worksheetSource ref="A1:K101" sheet="Cleaned Data"/>
  </cacheSource>
  <cacheFields count="11">
    <cacheField name="Column1" numFmtId="0">
      <sharedItems/>
    </cacheField>
    <cacheField name="Column2" numFmtId="22">
      <sharedItems containsDate="1" containsMixedTypes="1" minDate="2026-01-01T00:00:00" maxDate="2026-05-31T00:00:00"/>
    </cacheField>
    <cacheField name="Column3" numFmtId="0">
      <sharedItems count="13">
        <s v="Product"/>
        <s v="Coffee"/>
        <s v="Bread"/>
        <s v="Rice 5kg"/>
        <s v="Laundry Detergent"/>
        <s v="Vegetable Oil 1L"/>
        <s v="Soft Drink"/>
        <s v="Bottled Water"/>
        <s v="Eggs (12)"/>
        <s v="Potato Chips"/>
        <s v="Biscuits"/>
        <s v="Yoghurt"/>
        <s v="Milk 1L"/>
      </sharedItems>
    </cacheField>
    <cacheField name="Column4" numFmtId="0">
      <sharedItems count="7">
        <s v="Category"/>
        <s v="Beverages"/>
        <s v="Bakery"/>
        <s v="Groceries"/>
        <s v="Household"/>
        <s v="Dairy"/>
        <s v="Snacks"/>
      </sharedItems>
    </cacheField>
    <cacheField name="Column5" numFmtId="0">
      <sharedItems containsMixedTypes="1" containsNumber="1" containsInteger="1" minValue="1" maxValue="6"/>
    </cacheField>
    <cacheField name="Column6" numFmtId="0">
      <sharedItems containsMixedTypes="1" containsNumber="1" containsInteger="1" minValue="500" maxValue="8500"/>
    </cacheField>
    <cacheField name="Column7" numFmtId="0">
      <sharedItems containsMixedTypes="1" containsNumber="1" containsInteger="1" minValue="1000" maxValue="51000"/>
    </cacheField>
    <cacheField name="Column8" numFmtId="0">
      <sharedItems/>
    </cacheField>
    <cacheField name="Column9" numFmtId="0">
      <sharedItems/>
    </cacheField>
    <cacheField name="Column10" numFmtId="0">
      <sharedItems count="5">
        <s v="City"/>
        <s v="Ibadan"/>
        <s v="Lagos"/>
        <s v="Osogbo"/>
        <s v="Ife"/>
      </sharedItems>
    </cacheField>
    <cacheField name="Column11" numFmtId="0">
      <sharedItems count="6">
        <s v="Formatted Date"/>
        <s v="January"/>
        <s v="May"/>
        <s v="February"/>
        <s v="April"/>
        <s v="March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1">
  <r>
    <x v="0"/>
    <s v="Date"/>
    <x v="0"/>
    <x v="0"/>
    <x v="0"/>
    <s v="Unit Price"/>
    <x v="0"/>
    <x v="0"/>
    <x v="0"/>
    <x v="0"/>
    <x v="0"/>
  </r>
  <r>
    <x v="1"/>
    <d v="2026-01-29T00:00:00"/>
    <x v="1"/>
    <x v="1"/>
    <x v="1"/>
    <n v="4500"/>
    <x v="1"/>
    <x v="1"/>
    <x v="1"/>
    <x v="1"/>
    <x v="1"/>
  </r>
  <r>
    <x v="2"/>
    <d v="2026-01-27T00:00:00"/>
    <x v="2"/>
    <x v="2"/>
    <x v="2"/>
    <n v="1800"/>
    <x v="2"/>
    <x v="2"/>
    <x v="2"/>
    <x v="2"/>
    <x v="1"/>
  </r>
  <r>
    <x v="3"/>
    <d v="2026-01-24T00:00:00"/>
    <x v="3"/>
    <x v="3"/>
    <x v="3"/>
    <n v="8500"/>
    <x v="3"/>
    <x v="3"/>
    <x v="1"/>
    <x v="1"/>
    <x v="1"/>
  </r>
  <r>
    <x v="4"/>
    <d v="2026-05-20T00:00:00"/>
    <x v="4"/>
    <x v="4"/>
    <x v="4"/>
    <n v="3800"/>
    <x v="4"/>
    <x v="3"/>
    <x v="2"/>
    <x v="3"/>
    <x v="2"/>
  </r>
  <r>
    <x v="5"/>
    <d v="2026-02-10T00:00:00"/>
    <x v="3"/>
    <x v="3"/>
    <x v="2"/>
    <n v="8500"/>
    <x v="5"/>
    <x v="4"/>
    <x v="2"/>
    <x v="3"/>
    <x v="3"/>
  </r>
  <r>
    <x v="6"/>
    <d v="2026-02-25T00:00:00"/>
    <x v="2"/>
    <x v="2"/>
    <x v="5"/>
    <n v="1800"/>
    <x v="6"/>
    <x v="2"/>
    <x v="1"/>
    <x v="4"/>
    <x v="3"/>
  </r>
  <r>
    <x v="7"/>
    <d v="2026-04-02T00:00:00"/>
    <x v="5"/>
    <x v="3"/>
    <x v="5"/>
    <n v="3200"/>
    <x v="7"/>
    <x v="1"/>
    <x v="1"/>
    <x v="4"/>
    <x v="4"/>
  </r>
  <r>
    <x v="8"/>
    <d v="2026-02-01T00:00:00"/>
    <x v="6"/>
    <x v="1"/>
    <x v="4"/>
    <n v="1000"/>
    <x v="8"/>
    <x v="2"/>
    <x v="2"/>
    <x v="3"/>
    <x v="3"/>
  </r>
  <r>
    <x v="9"/>
    <d v="2026-02-19T00:00:00"/>
    <x v="7"/>
    <x v="1"/>
    <x v="2"/>
    <n v="500"/>
    <x v="9"/>
    <x v="2"/>
    <x v="1"/>
    <x v="1"/>
    <x v="3"/>
  </r>
  <r>
    <x v="10"/>
    <d v="2026-01-21T00:00:00"/>
    <x v="8"/>
    <x v="5"/>
    <x v="3"/>
    <n v="4200"/>
    <x v="10"/>
    <x v="2"/>
    <x v="2"/>
    <x v="3"/>
    <x v="1"/>
  </r>
  <r>
    <x v="11"/>
    <d v="2026-04-04T00:00:00"/>
    <x v="9"/>
    <x v="6"/>
    <x v="3"/>
    <n v="1800"/>
    <x v="11"/>
    <x v="1"/>
    <x v="2"/>
    <x v="1"/>
    <x v="4"/>
  </r>
  <r>
    <x v="12"/>
    <d v="2026-03-10T00:00:00"/>
    <x v="1"/>
    <x v="1"/>
    <x v="2"/>
    <n v="4500"/>
    <x v="12"/>
    <x v="2"/>
    <x v="1"/>
    <x v="1"/>
    <x v="5"/>
  </r>
  <r>
    <x v="13"/>
    <d v="2026-04-29T00:00:00"/>
    <x v="2"/>
    <x v="2"/>
    <x v="4"/>
    <n v="1800"/>
    <x v="13"/>
    <x v="1"/>
    <x v="1"/>
    <x v="3"/>
    <x v="4"/>
  </r>
  <r>
    <x v="14"/>
    <d v="2026-02-28T00:00:00"/>
    <x v="3"/>
    <x v="3"/>
    <x v="1"/>
    <n v="8500"/>
    <x v="14"/>
    <x v="1"/>
    <x v="2"/>
    <x v="3"/>
    <x v="3"/>
  </r>
  <r>
    <x v="15"/>
    <d v="2026-02-24T00:00:00"/>
    <x v="5"/>
    <x v="3"/>
    <x v="6"/>
    <n v="3200"/>
    <x v="15"/>
    <x v="1"/>
    <x v="1"/>
    <x v="4"/>
    <x v="3"/>
  </r>
  <r>
    <x v="16"/>
    <d v="2026-04-28T00:00:00"/>
    <x v="10"/>
    <x v="6"/>
    <x v="3"/>
    <n v="1200"/>
    <x v="16"/>
    <x v="1"/>
    <x v="1"/>
    <x v="1"/>
    <x v="4"/>
  </r>
  <r>
    <x v="17"/>
    <d v="2026-05-24T00:00:00"/>
    <x v="4"/>
    <x v="4"/>
    <x v="6"/>
    <n v="3800"/>
    <x v="17"/>
    <x v="1"/>
    <x v="2"/>
    <x v="4"/>
    <x v="2"/>
  </r>
  <r>
    <x v="18"/>
    <d v="2026-02-26T00:00:00"/>
    <x v="11"/>
    <x v="5"/>
    <x v="3"/>
    <n v="1500"/>
    <x v="9"/>
    <x v="4"/>
    <x v="1"/>
    <x v="2"/>
    <x v="3"/>
  </r>
  <r>
    <x v="19"/>
    <d v="2026-02-09T00:00:00"/>
    <x v="5"/>
    <x v="3"/>
    <x v="2"/>
    <n v="3200"/>
    <x v="18"/>
    <x v="3"/>
    <x v="2"/>
    <x v="2"/>
    <x v="3"/>
  </r>
  <r>
    <x v="20"/>
    <d v="2026-04-08T00:00:00"/>
    <x v="10"/>
    <x v="6"/>
    <x v="6"/>
    <n v="1200"/>
    <x v="19"/>
    <x v="4"/>
    <x v="2"/>
    <x v="2"/>
    <x v="4"/>
  </r>
  <r>
    <x v="21"/>
    <d v="2026-01-30T00:00:00"/>
    <x v="1"/>
    <x v="1"/>
    <x v="2"/>
    <n v="4500"/>
    <x v="12"/>
    <x v="1"/>
    <x v="2"/>
    <x v="2"/>
    <x v="1"/>
  </r>
  <r>
    <x v="22"/>
    <d v="2026-04-22T00:00:00"/>
    <x v="8"/>
    <x v="5"/>
    <x v="3"/>
    <n v="4200"/>
    <x v="10"/>
    <x v="1"/>
    <x v="1"/>
    <x v="3"/>
    <x v="4"/>
  </r>
  <r>
    <x v="23"/>
    <d v="2026-02-15T00:00:00"/>
    <x v="6"/>
    <x v="1"/>
    <x v="6"/>
    <n v="1000"/>
    <x v="20"/>
    <x v="2"/>
    <x v="2"/>
    <x v="1"/>
    <x v="3"/>
  </r>
  <r>
    <x v="24"/>
    <d v="2026-04-06T00:00:00"/>
    <x v="2"/>
    <x v="2"/>
    <x v="3"/>
    <n v="1800"/>
    <x v="11"/>
    <x v="2"/>
    <x v="2"/>
    <x v="4"/>
    <x v="4"/>
  </r>
  <r>
    <x v="25"/>
    <d v="2026-01-29T00:00:00"/>
    <x v="3"/>
    <x v="3"/>
    <x v="5"/>
    <n v="8500"/>
    <x v="21"/>
    <x v="1"/>
    <x v="1"/>
    <x v="2"/>
    <x v="1"/>
  </r>
  <r>
    <x v="26"/>
    <d v="2026-05-26T00:00:00"/>
    <x v="12"/>
    <x v="5"/>
    <x v="1"/>
    <n v="2800"/>
    <x v="22"/>
    <x v="2"/>
    <x v="2"/>
    <x v="2"/>
    <x v="2"/>
  </r>
  <r>
    <x v="27"/>
    <d v="2026-02-02T00:00:00"/>
    <x v="6"/>
    <x v="1"/>
    <x v="3"/>
    <n v="1000"/>
    <x v="23"/>
    <x v="4"/>
    <x v="1"/>
    <x v="3"/>
    <x v="3"/>
  </r>
  <r>
    <x v="28"/>
    <d v="2026-04-19T00:00:00"/>
    <x v="6"/>
    <x v="1"/>
    <x v="3"/>
    <n v="1000"/>
    <x v="23"/>
    <x v="3"/>
    <x v="2"/>
    <x v="4"/>
    <x v="4"/>
  </r>
  <r>
    <x v="29"/>
    <d v="2026-04-06T00:00:00"/>
    <x v="1"/>
    <x v="1"/>
    <x v="4"/>
    <n v="4500"/>
    <x v="24"/>
    <x v="4"/>
    <x v="1"/>
    <x v="1"/>
    <x v="4"/>
  </r>
  <r>
    <x v="30"/>
    <d v="2026-01-17T00:00:00"/>
    <x v="12"/>
    <x v="5"/>
    <x v="5"/>
    <n v="2800"/>
    <x v="10"/>
    <x v="2"/>
    <x v="1"/>
    <x v="1"/>
    <x v="1"/>
  </r>
  <r>
    <x v="31"/>
    <d v="2026-01-19T00:00:00"/>
    <x v="3"/>
    <x v="3"/>
    <x v="2"/>
    <n v="8500"/>
    <x v="5"/>
    <x v="2"/>
    <x v="1"/>
    <x v="2"/>
    <x v="1"/>
  </r>
  <r>
    <x v="32"/>
    <d v="2026-03-26T00:00:00"/>
    <x v="3"/>
    <x v="3"/>
    <x v="1"/>
    <n v="8500"/>
    <x v="14"/>
    <x v="3"/>
    <x v="2"/>
    <x v="4"/>
    <x v="5"/>
  </r>
  <r>
    <x v="33"/>
    <d v="2026-05-19T00:00:00"/>
    <x v="12"/>
    <x v="5"/>
    <x v="3"/>
    <n v="2800"/>
    <x v="25"/>
    <x v="4"/>
    <x v="1"/>
    <x v="4"/>
    <x v="2"/>
  </r>
  <r>
    <x v="34"/>
    <d v="2026-02-18T00:00:00"/>
    <x v="10"/>
    <x v="6"/>
    <x v="1"/>
    <n v="1200"/>
    <x v="26"/>
    <x v="2"/>
    <x v="2"/>
    <x v="3"/>
    <x v="3"/>
  </r>
  <r>
    <x v="35"/>
    <d v="2026-04-16T00:00:00"/>
    <x v="10"/>
    <x v="6"/>
    <x v="4"/>
    <n v="1200"/>
    <x v="27"/>
    <x v="2"/>
    <x v="1"/>
    <x v="2"/>
    <x v="4"/>
  </r>
  <r>
    <x v="36"/>
    <d v="2026-03-28T00:00:00"/>
    <x v="10"/>
    <x v="6"/>
    <x v="1"/>
    <n v="1200"/>
    <x v="26"/>
    <x v="3"/>
    <x v="1"/>
    <x v="1"/>
    <x v="5"/>
  </r>
  <r>
    <x v="37"/>
    <d v="2026-04-25T00:00:00"/>
    <x v="6"/>
    <x v="1"/>
    <x v="3"/>
    <n v="1000"/>
    <x v="23"/>
    <x v="4"/>
    <x v="1"/>
    <x v="3"/>
    <x v="4"/>
  </r>
  <r>
    <x v="38"/>
    <d v="2026-03-05T00:00:00"/>
    <x v="9"/>
    <x v="6"/>
    <x v="1"/>
    <n v="1800"/>
    <x v="28"/>
    <x v="4"/>
    <x v="1"/>
    <x v="2"/>
    <x v="5"/>
  </r>
  <r>
    <x v="39"/>
    <d v="2026-05-19T00:00:00"/>
    <x v="1"/>
    <x v="1"/>
    <x v="1"/>
    <n v="4500"/>
    <x v="1"/>
    <x v="2"/>
    <x v="1"/>
    <x v="1"/>
    <x v="2"/>
  </r>
  <r>
    <x v="40"/>
    <d v="2026-05-05T00:00:00"/>
    <x v="10"/>
    <x v="6"/>
    <x v="4"/>
    <n v="1200"/>
    <x v="27"/>
    <x v="3"/>
    <x v="2"/>
    <x v="2"/>
    <x v="2"/>
  </r>
  <r>
    <x v="41"/>
    <d v="2026-04-08T00:00:00"/>
    <x v="2"/>
    <x v="2"/>
    <x v="1"/>
    <n v="1800"/>
    <x v="28"/>
    <x v="4"/>
    <x v="2"/>
    <x v="4"/>
    <x v="4"/>
  </r>
  <r>
    <x v="42"/>
    <d v="2026-04-19T00:00:00"/>
    <x v="8"/>
    <x v="5"/>
    <x v="2"/>
    <n v="4200"/>
    <x v="29"/>
    <x v="4"/>
    <x v="1"/>
    <x v="1"/>
    <x v="4"/>
  </r>
  <r>
    <x v="43"/>
    <d v="2026-02-25T00:00:00"/>
    <x v="8"/>
    <x v="5"/>
    <x v="1"/>
    <n v="4200"/>
    <x v="30"/>
    <x v="2"/>
    <x v="2"/>
    <x v="2"/>
    <x v="3"/>
  </r>
  <r>
    <x v="44"/>
    <d v="2026-05-30T00:00:00"/>
    <x v="3"/>
    <x v="3"/>
    <x v="4"/>
    <n v="8500"/>
    <x v="31"/>
    <x v="3"/>
    <x v="1"/>
    <x v="2"/>
    <x v="2"/>
  </r>
  <r>
    <x v="45"/>
    <d v="2026-01-18T00:00:00"/>
    <x v="2"/>
    <x v="2"/>
    <x v="6"/>
    <n v="1800"/>
    <x v="32"/>
    <x v="2"/>
    <x v="1"/>
    <x v="4"/>
    <x v="1"/>
  </r>
  <r>
    <x v="46"/>
    <d v="2026-05-26T00:00:00"/>
    <x v="5"/>
    <x v="3"/>
    <x v="3"/>
    <n v="3200"/>
    <x v="33"/>
    <x v="2"/>
    <x v="1"/>
    <x v="4"/>
    <x v="2"/>
  </r>
  <r>
    <x v="47"/>
    <d v="2026-05-30T00:00:00"/>
    <x v="1"/>
    <x v="1"/>
    <x v="6"/>
    <n v="4500"/>
    <x v="34"/>
    <x v="1"/>
    <x v="2"/>
    <x v="1"/>
    <x v="2"/>
  </r>
  <r>
    <x v="48"/>
    <d v="2026-03-22T00:00:00"/>
    <x v="1"/>
    <x v="1"/>
    <x v="3"/>
    <n v="4500"/>
    <x v="32"/>
    <x v="1"/>
    <x v="2"/>
    <x v="1"/>
    <x v="5"/>
  </r>
  <r>
    <x v="49"/>
    <d v="2026-03-18T00:00:00"/>
    <x v="1"/>
    <x v="1"/>
    <x v="4"/>
    <n v="4500"/>
    <x v="24"/>
    <x v="1"/>
    <x v="1"/>
    <x v="2"/>
    <x v="5"/>
  </r>
  <r>
    <x v="50"/>
    <d v="2026-05-25T00:00:00"/>
    <x v="9"/>
    <x v="6"/>
    <x v="1"/>
    <n v="1800"/>
    <x v="28"/>
    <x v="2"/>
    <x v="1"/>
    <x v="3"/>
    <x v="2"/>
  </r>
  <r>
    <x v="51"/>
    <d v="2026-03-31T00:00:00"/>
    <x v="2"/>
    <x v="2"/>
    <x v="1"/>
    <n v="1800"/>
    <x v="28"/>
    <x v="3"/>
    <x v="2"/>
    <x v="3"/>
    <x v="5"/>
  </r>
  <r>
    <x v="52"/>
    <d v="2026-04-23T00:00:00"/>
    <x v="2"/>
    <x v="2"/>
    <x v="6"/>
    <n v="1800"/>
    <x v="32"/>
    <x v="1"/>
    <x v="1"/>
    <x v="3"/>
    <x v="4"/>
  </r>
  <r>
    <x v="53"/>
    <d v="2026-01-27T00:00:00"/>
    <x v="1"/>
    <x v="1"/>
    <x v="3"/>
    <n v="4500"/>
    <x v="32"/>
    <x v="1"/>
    <x v="1"/>
    <x v="2"/>
    <x v="1"/>
  </r>
  <r>
    <x v="54"/>
    <d v="2026-05-22T00:00:00"/>
    <x v="4"/>
    <x v="4"/>
    <x v="3"/>
    <n v="3800"/>
    <x v="35"/>
    <x v="1"/>
    <x v="2"/>
    <x v="1"/>
    <x v="2"/>
  </r>
  <r>
    <x v="55"/>
    <d v="2026-03-29T00:00:00"/>
    <x v="4"/>
    <x v="4"/>
    <x v="3"/>
    <n v="3800"/>
    <x v="35"/>
    <x v="1"/>
    <x v="2"/>
    <x v="3"/>
    <x v="5"/>
  </r>
  <r>
    <x v="56"/>
    <d v="2026-01-24T00:00:00"/>
    <x v="3"/>
    <x v="3"/>
    <x v="2"/>
    <n v="8500"/>
    <x v="5"/>
    <x v="4"/>
    <x v="2"/>
    <x v="2"/>
    <x v="1"/>
  </r>
  <r>
    <x v="57"/>
    <d v="2026-03-27T00:00:00"/>
    <x v="3"/>
    <x v="3"/>
    <x v="3"/>
    <n v="8500"/>
    <x v="3"/>
    <x v="1"/>
    <x v="1"/>
    <x v="4"/>
    <x v="5"/>
  </r>
  <r>
    <x v="58"/>
    <d v="2026-04-20T00:00:00"/>
    <x v="6"/>
    <x v="1"/>
    <x v="6"/>
    <n v="1000"/>
    <x v="20"/>
    <x v="2"/>
    <x v="1"/>
    <x v="2"/>
    <x v="4"/>
  </r>
  <r>
    <x v="59"/>
    <d v="2026-02-08T00:00:00"/>
    <x v="4"/>
    <x v="4"/>
    <x v="6"/>
    <n v="3800"/>
    <x v="17"/>
    <x v="2"/>
    <x v="2"/>
    <x v="1"/>
    <x v="3"/>
  </r>
  <r>
    <x v="60"/>
    <d v="2026-02-02T00:00:00"/>
    <x v="10"/>
    <x v="6"/>
    <x v="1"/>
    <n v="1200"/>
    <x v="26"/>
    <x v="1"/>
    <x v="2"/>
    <x v="2"/>
    <x v="3"/>
  </r>
  <r>
    <x v="61"/>
    <d v="2026-02-23T00:00:00"/>
    <x v="11"/>
    <x v="5"/>
    <x v="2"/>
    <n v="1500"/>
    <x v="32"/>
    <x v="3"/>
    <x v="1"/>
    <x v="3"/>
    <x v="3"/>
  </r>
  <r>
    <x v="62"/>
    <d v="2026-04-15T00:00:00"/>
    <x v="6"/>
    <x v="1"/>
    <x v="6"/>
    <n v="1000"/>
    <x v="20"/>
    <x v="3"/>
    <x v="1"/>
    <x v="1"/>
    <x v="4"/>
  </r>
  <r>
    <x v="63"/>
    <d v="2026-04-16T00:00:00"/>
    <x v="2"/>
    <x v="2"/>
    <x v="1"/>
    <n v="1800"/>
    <x v="28"/>
    <x v="3"/>
    <x v="2"/>
    <x v="4"/>
    <x v="4"/>
  </r>
  <r>
    <x v="64"/>
    <d v="2026-03-05T00:00:00"/>
    <x v="1"/>
    <x v="1"/>
    <x v="5"/>
    <n v="4500"/>
    <x v="36"/>
    <x v="3"/>
    <x v="1"/>
    <x v="4"/>
    <x v="5"/>
  </r>
  <r>
    <x v="65"/>
    <d v="2026-05-01T00:00:00"/>
    <x v="3"/>
    <x v="3"/>
    <x v="3"/>
    <n v="8500"/>
    <x v="3"/>
    <x v="3"/>
    <x v="2"/>
    <x v="3"/>
    <x v="2"/>
  </r>
  <r>
    <x v="66"/>
    <d v="2026-02-28T00:00:00"/>
    <x v="8"/>
    <x v="5"/>
    <x v="3"/>
    <n v="4200"/>
    <x v="10"/>
    <x v="2"/>
    <x v="1"/>
    <x v="4"/>
    <x v="3"/>
  </r>
  <r>
    <x v="67"/>
    <d v="2026-03-13T00:00:00"/>
    <x v="11"/>
    <x v="5"/>
    <x v="1"/>
    <n v="1500"/>
    <x v="37"/>
    <x v="1"/>
    <x v="2"/>
    <x v="4"/>
    <x v="5"/>
  </r>
  <r>
    <x v="68"/>
    <d v="2026-05-18T00:00:00"/>
    <x v="1"/>
    <x v="1"/>
    <x v="5"/>
    <n v="4500"/>
    <x v="36"/>
    <x v="2"/>
    <x v="1"/>
    <x v="3"/>
    <x v="2"/>
  </r>
  <r>
    <x v="69"/>
    <d v="2026-05-29T00:00:00"/>
    <x v="2"/>
    <x v="2"/>
    <x v="5"/>
    <n v="1800"/>
    <x v="6"/>
    <x v="2"/>
    <x v="1"/>
    <x v="4"/>
    <x v="2"/>
  </r>
  <r>
    <x v="70"/>
    <d v="2026-03-22T00:00:00"/>
    <x v="11"/>
    <x v="5"/>
    <x v="4"/>
    <n v="1500"/>
    <x v="19"/>
    <x v="2"/>
    <x v="2"/>
    <x v="1"/>
    <x v="5"/>
  </r>
  <r>
    <x v="71"/>
    <d v="2026-01-12T00:00:00"/>
    <x v="8"/>
    <x v="5"/>
    <x v="2"/>
    <n v="4200"/>
    <x v="29"/>
    <x v="4"/>
    <x v="1"/>
    <x v="1"/>
    <x v="1"/>
  </r>
  <r>
    <x v="72"/>
    <d v="2026-04-21T00:00:00"/>
    <x v="11"/>
    <x v="5"/>
    <x v="1"/>
    <n v="1500"/>
    <x v="37"/>
    <x v="1"/>
    <x v="2"/>
    <x v="2"/>
    <x v="4"/>
  </r>
  <r>
    <x v="73"/>
    <d v="2026-03-18T00:00:00"/>
    <x v="4"/>
    <x v="4"/>
    <x v="6"/>
    <n v="3800"/>
    <x v="17"/>
    <x v="1"/>
    <x v="2"/>
    <x v="3"/>
    <x v="5"/>
  </r>
  <r>
    <x v="74"/>
    <d v="2026-03-17T00:00:00"/>
    <x v="10"/>
    <x v="6"/>
    <x v="6"/>
    <n v="1200"/>
    <x v="19"/>
    <x v="3"/>
    <x v="1"/>
    <x v="4"/>
    <x v="5"/>
  </r>
  <r>
    <x v="75"/>
    <d v="2026-04-08T00:00:00"/>
    <x v="1"/>
    <x v="1"/>
    <x v="2"/>
    <n v="4500"/>
    <x v="12"/>
    <x v="3"/>
    <x v="2"/>
    <x v="4"/>
    <x v="4"/>
  </r>
  <r>
    <x v="76"/>
    <d v="2026-01-01T00:00:00"/>
    <x v="6"/>
    <x v="1"/>
    <x v="5"/>
    <n v="1000"/>
    <x v="9"/>
    <x v="1"/>
    <x v="1"/>
    <x v="4"/>
    <x v="1"/>
  </r>
  <r>
    <x v="77"/>
    <d v="2026-03-24T00:00:00"/>
    <x v="7"/>
    <x v="1"/>
    <x v="4"/>
    <n v="500"/>
    <x v="23"/>
    <x v="4"/>
    <x v="2"/>
    <x v="1"/>
    <x v="5"/>
  </r>
  <r>
    <x v="78"/>
    <d v="2026-05-02T00:00:00"/>
    <x v="6"/>
    <x v="1"/>
    <x v="2"/>
    <n v="1000"/>
    <x v="19"/>
    <x v="3"/>
    <x v="1"/>
    <x v="3"/>
    <x v="2"/>
  </r>
  <r>
    <x v="79"/>
    <d v="2026-03-27T00:00:00"/>
    <x v="6"/>
    <x v="1"/>
    <x v="1"/>
    <n v="1000"/>
    <x v="38"/>
    <x v="3"/>
    <x v="2"/>
    <x v="1"/>
    <x v="5"/>
  </r>
  <r>
    <x v="80"/>
    <d v="2026-02-07T00:00:00"/>
    <x v="12"/>
    <x v="5"/>
    <x v="1"/>
    <n v="2800"/>
    <x v="22"/>
    <x v="2"/>
    <x v="1"/>
    <x v="4"/>
    <x v="3"/>
  </r>
  <r>
    <x v="81"/>
    <d v="2026-01-19T00:00:00"/>
    <x v="7"/>
    <x v="1"/>
    <x v="4"/>
    <n v="500"/>
    <x v="23"/>
    <x v="4"/>
    <x v="1"/>
    <x v="4"/>
    <x v="1"/>
  </r>
  <r>
    <x v="82"/>
    <d v="2026-04-13T00:00:00"/>
    <x v="9"/>
    <x v="6"/>
    <x v="3"/>
    <n v="1800"/>
    <x v="11"/>
    <x v="3"/>
    <x v="1"/>
    <x v="2"/>
    <x v="4"/>
  </r>
  <r>
    <x v="83"/>
    <d v="2026-02-26T00:00:00"/>
    <x v="10"/>
    <x v="6"/>
    <x v="3"/>
    <n v="1200"/>
    <x v="16"/>
    <x v="4"/>
    <x v="1"/>
    <x v="1"/>
    <x v="3"/>
  </r>
  <r>
    <x v="84"/>
    <d v="2026-04-27T00:00:00"/>
    <x v="5"/>
    <x v="3"/>
    <x v="3"/>
    <n v="3200"/>
    <x v="33"/>
    <x v="4"/>
    <x v="2"/>
    <x v="4"/>
    <x v="4"/>
  </r>
  <r>
    <x v="85"/>
    <d v="2026-05-10T00:00:00"/>
    <x v="7"/>
    <x v="1"/>
    <x v="4"/>
    <n v="500"/>
    <x v="23"/>
    <x v="4"/>
    <x v="1"/>
    <x v="4"/>
    <x v="2"/>
  </r>
  <r>
    <x v="86"/>
    <d v="2026-03-08T00:00:00"/>
    <x v="9"/>
    <x v="6"/>
    <x v="3"/>
    <n v="1800"/>
    <x v="11"/>
    <x v="1"/>
    <x v="2"/>
    <x v="1"/>
    <x v="5"/>
  </r>
  <r>
    <x v="87"/>
    <d v="2026-04-23T00:00:00"/>
    <x v="8"/>
    <x v="5"/>
    <x v="1"/>
    <n v="4200"/>
    <x v="30"/>
    <x v="1"/>
    <x v="1"/>
    <x v="3"/>
    <x v="4"/>
  </r>
  <r>
    <x v="88"/>
    <d v="2026-03-23T00:00:00"/>
    <x v="11"/>
    <x v="5"/>
    <x v="6"/>
    <n v="1500"/>
    <x v="39"/>
    <x v="2"/>
    <x v="1"/>
    <x v="1"/>
    <x v="5"/>
  </r>
  <r>
    <x v="89"/>
    <d v="2026-04-15T00:00:00"/>
    <x v="10"/>
    <x v="6"/>
    <x v="5"/>
    <n v="1200"/>
    <x v="11"/>
    <x v="4"/>
    <x v="2"/>
    <x v="2"/>
    <x v="4"/>
  </r>
  <r>
    <x v="90"/>
    <d v="2026-04-18T00:00:00"/>
    <x v="12"/>
    <x v="5"/>
    <x v="4"/>
    <n v="2800"/>
    <x v="40"/>
    <x v="2"/>
    <x v="2"/>
    <x v="4"/>
    <x v="4"/>
  </r>
  <r>
    <x v="91"/>
    <d v="2026-04-01T00:00:00"/>
    <x v="3"/>
    <x v="3"/>
    <x v="5"/>
    <n v="8500"/>
    <x v="21"/>
    <x v="4"/>
    <x v="2"/>
    <x v="1"/>
    <x v="4"/>
  </r>
  <r>
    <x v="92"/>
    <d v="2026-02-26T00:00:00"/>
    <x v="9"/>
    <x v="6"/>
    <x v="5"/>
    <n v="1800"/>
    <x v="6"/>
    <x v="4"/>
    <x v="2"/>
    <x v="2"/>
    <x v="3"/>
  </r>
  <r>
    <x v="93"/>
    <d v="2026-03-28T00:00:00"/>
    <x v="10"/>
    <x v="6"/>
    <x v="2"/>
    <n v="1200"/>
    <x v="13"/>
    <x v="4"/>
    <x v="1"/>
    <x v="4"/>
    <x v="5"/>
  </r>
  <r>
    <x v="94"/>
    <d v="2026-05-17T00:00:00"/>
    <x v="2"/>
    <x v="2"/>
    <x v="1"/>
    <n v="1800"/>
    <x v="28"/>
    <x v="4"/>
    <x v="1"/>
    <x v="2"/>
    <x v="2"/>
  </r>
  <r>
    <x v="95"/>
    <d v="2026-04-20T00:00:00"/>
    <x v="1"/>
    <x v="1"/>
    <x v="3"/>
    <n v="4500"/>
    <x v="32"/>
    <x v="4"/>
    <x v="1"/>
    <x v="2"/>
    <x v="4"/>
  </r>
  <r>
    <x v="96"/>
    <d v="2026-04-08T00:00:00"/>
    <x v="8"/>
    <x v="5"/>
    <x v="5"/>
    <n v="4200"/>
    <x v="41"/>
    <x v="3"/>
    <x v="2"/>
    <x v="3"/>
    <x v="4"/>
  </r>
  <r>
    <x v="97"/>
    <d v="2026-04-08T00:00:00"/>
    <x v="11"/>
    <x v="5"/>
    <x v="5"/>
    <n v="1500"/>
    <x v="1"/>
    <x v="4"/>
    <x v="2"/>
    <x v="2"/>
    <x v="4"/>
  </r>
  <r>
    <x v="98"/>
    <d v="2026-01-05T00:00:00"/>
    <x v="9"/>
    <x v="6"/>
    <x v="2"/>
    <n v="1800"/>
    <x v="2"/>
    <x v="2"/>
    <x v="2"/>
    <x v="1"/>
    <x v="1"/>
  </r>
  <r>
    <x v="99"/>
    <d v="2026-01-18T00:00:00"/>
    <x v="1"/>
    <x v="1"/>
    <x v="2"/>
    <n v="4500"/>
    <x v="12"/>
    <x v="2"/>
    <x v="1"/>
    <x v="1"/>
    <x v="1"/>
  </r>
  <r>
    <x v="100"/>
    <m/>
    <x v="13"/>
    <x v="7"/>
    <x v="7"/>
    <m/>
    <x v="42"/>
    <x v="5"/>
    <x v="3"/>
    <x v="5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8">
  <r>
    <x v="0"/>
    <x v="0"/>
    <x v="0"/>
    <x v="0"/>
    <n v="6"/>
    <n v="1800"/>
    <n v="10800"/>
    <s v="Cash"/>
    <s v="New"/>
    <x v="0"/>
    <s v="January"/>
  </r>
  <r>
    <x v="1"/>
    <x v="1"/>
    <x v="1"/>
    <x v="1"/>
    <n v="2"/>
    <n v="8500"/>
    <n v="17000"/>
    <s v="Card"/>
    <s v="Regular"/>
    <x v="1"/>
    <s v="January"/>
  </r>
  <r>
    <x v="2"/>
    <x v="2"/>
    <x v="2"/>
    <x v="2"/>
    <n v="4"/>
    <n v="3800"/>
    <n v="15200"/>
    <s v="Card"/>
    <s v="New"/>
    <x v="2"/>
    <s v="May"/>
  </r>
  <r>
    <x v="3"/>
    <x v="3"/>
    <x v="1"/>
    <x v="1"/>
    <n v="6"/>
    <n v="8500"/>
    <n v="51000"/>
    <s v="POS"/>
    <s v="New"/>
    <x v="2"/>
    <s v="February"/>
  </r>
  <r>
    <x v="4"/>
    <x v="4"/>
    <x v="0"/>
    <x v="0"/>
    <n v="3"/>
    <n v="1800"/>
    <n v="5400"/>
    <s v="Cash"/>
    <s v="Regular"/>
    <x v="3"/>
    <s v="February"/>
  </r>
  <r>
    <x v="5"/>
    <x v="5"/>
    <x v="3"/>
    <x v="1"/>
    <n v="3"/>
    <n v="3200"/>
    <n v="9600"/>
    <s v="Transfer"/>
    <s v="Regular"/>
    <x v="3"/>
    <s v="April"/>
  </r>
  <r>
    <x v="6"/>
    <x v="6"/>
    <x v="4"/>
    <x v="3"/>
    <n v="4"/>
    <n v="1000"/>
    <n v="4000"/>
    <s v="Cash"/>
    <s v="New"/>
    <x v="2"/>
    <s v="February"/>
  </r>
  <r>
    <x v="7"/>
    <x v="7"/>
    <x v="5"/>
    <x v="3"/>
    <n v="6"/>
    <n v="500"/>
    <n v="3000"/>
    <s v="Cash"/>
    <s v="Regular"/>
    <x v="1"/>
    <s v="February"/>
  </r>
  <r>
    <x v="8"/>
    <x v="8"/>
    <x v="6"/>
    <x v="4"/>
    <n v="2"/>
    <n v="4200"/>
    <n v="8400"/>
    <s v="Cash"/>
    <s v="New"/>
    <x v="2"/>
    <s v="January"/>
  </r>
  <r>
    <x v="9"/>
    <x v="9"/>
    <x v="7"/>
    <x v="5"/>
    <n v="2"/>
    <n v="1800"/>
    <n v="3600"/>
    <s v="Transfer"/>
    <s v="New"/>
    <x v="1"/>
    <s v="April"/>
  </r>
  <r>
    <x v="10"/>
    <x v="10"/>
    <x v="8"/>
    <x v="3"/>
    <n v="6"/>
    <n v="4500"/>
    <n v="27000"/>
    <s v="Cash"/>
    <s v="Regular"/>
    <x v="1"/>
    <s v="March"/>
  </r>
  <r>
    <x v="11"/>
    <x v="11"/>
    <x v="0"/>
    <x v="0"/>
    <n v="4"/>
    <n v="1800"/>
    <n v="7200"/>
    <s v="Transfer"/>
    <s v="Regular"/>
    <x v="2"/>
    <s v="April"/>
  </r>
  <r>
    <x v="12"/>
    <x v="12"/>
    <x v="1"/>
    <x v="1"/>
    <n v="1"/>
    <n v="8500"/>
    <n v="8500"/>
    <s v="Transfer"/>
    <s v="New"/>
    <x v="2"/>
    <s v="February"/>
  </r>
  <r>
    <x v="13"/>
    <x v="13"/>
    <x v="3"/>
    <x v="1"/>
    <n v="5"/>
    <n v="3200"/>
    <n v="16000"/>
    <s v="Transfer"/>
    <s v="Regular"/>
    <x v="3"/>
    <s v="February"/>
  </r>
  <r>
    <x v="14"/>
    <x v="14"/>
    <x v="9"/>
    <x v="5"/>
    <n v="2"/>
    <n v="1200"/>
    <n v="2400"/>
    <s v="Transfer"/>
    <s v="Regular"/>
    <x v="1"/>
    <s v="April"/>
  </r>
  <r>
    <x v="15"/>
    <x v="15"/>
    <x v="2"/>
    <x v="2"/>
    <n v="5"/>
    <n v="3800"/>
    <n v="19000"/>
    <s v="Transfer"/>
    <s v="New"/>
    <x v="3"/>
    <s v="May"/>
  </r>
  <r>
    <x v="16"/>
    <x v="16"/>
    <x v="10"/>
    <x v="4"/>
    <n v="2"/>
    <n v="1500"/>
    <n v="3000"/>
    <s v="POS"/>
    <s v="Regular"/>
    <x v="0"/>
    <s v="February"/>
  </r>
  <r>
    <x v="17"/>
    <x v="17"/>
    <x v="3"/>
    <x v="1"/>
    <n v="6"/>
    <n v="3200"/>
    <n v="19200"/>
    <s v="Card"/>
    <s v="New"/>
    <x v="0"/>
    <s v="February"/>
  </r>
  <r>
    <x v="18"/>
    <x v="18"/>
    <x v="9"/>
    <x v="5"/>
    <n v="5"/>
    <n v="1200"/>
    <n v="6000"/>
    <s v="POS"/>
    <s v="New"/>
    <x v="0"/>
    <s v="April"/>
  </r>
  <r>
    <x v="19"/>
    <x v="19"/>
    <x v="8"/>
    <x v="3"/>
    <n v="6"/>
    <n v="4500"/>
    <n v="27000"/>
    <s v="Transfer"/>
    <s v="New"/>
    <x v="0"/>
    <s v="January"/>
  </r>
  <r>
    <x v="20"/>
    <x v="20"/>
    <x v="6"/>
    <x v="4"/>
    <n v="2"/>
    <n v="4200"/>
    <n v="8400"/>
    <s v="Transfer"/>
    <s v="Regular"/>
    <x v="2"/>
    <s v="April"/>
  </r>
  <r>
    <x v="21"/>
    <x v="21"/>
    <x v="4"/>
    <x v="3"/>
    <n v="5"/>
    <n v="1000"/>
    <n v="5000"/>
    <s v="Cash"/>
    <s v="New"/>
    <x v="1"/>
    <s v="February"/>
  </r>
  <r>
    <x v="22"/>
    <x v="22"/>
    <x v="0"/>
    <x v="0"/>
    <n v="2"/>
    <n v="1800"/>
    <n v="3600"/>
    <s v="Cash"/>
    <s v="New"/>
    <x v="3"/>
    <s v="April"/>
  </r>
  <r>
    <x v="23"/>
    <x v="23"/>
    <x v="1"/>
    <x v="1"/>
    <n v="3"/>
    <n v="8500"/>
    <n v="25500"/>
    <s v="Transfer"/>
    <s v="Regular"/>
    <x v="0"/>
    <s v="January"/>
  </r>
  <r>
    <x v="24"/>
    <x v="24"/>
    <x v="11"/>
    <x v="4"/>
    <n v="1"/>
    <n v="2800"/>
    <n v="2800"/>
    <s v="Cash"/>
    <s v="New"/>
    <x v="0"/>
    <s v="May"/>
  </r>
  <r>
    <x v="25"/>
    <x v="25"/>
    <x v="4"/>
    <x v="3"/>
    <n v="2"/>
    <n v="1000"/>
    <n v="2000"/>
    <s v="POS"/>
    <s v="Regular"/>
    <x v="2"/>
    <s v="February"/>
  </r>
  <r>
    <x v="26"/>
    <x v="26"/>
    <x v="4"/>
    <x v="3"/>
    <n v="2"/>
    <n v="1000"/>
    <n v="2000"/>
    <s v="Card"/>
    <s v="New"/>
    <x v="3"/>
    <s v="April"/>
  </r>
  <r>
    <x v="27"/>
    <x v="22"/>
    <x v="8"/>
    <x v="3"/>
    <n v="4"/>
    <n v="4500"/>
    <n v="18000"/>
    <s v="POS"/>
    <s v="Regular"/>
    <x v="1"/>
    <s v="April"/>
  </r>
  <r>
    <x v="28"/>
    <x v="27"/>
    <x v="11"/>
    <x v="4"/>
    <n v="3"/>
    <n v="2800"/>
    <n v="8400"/>
    <s v="Cash"/>
    <s v="Regular"/>
    <x v="1"/>
    <s v="January"/>
  </r>
  <r>
    <x v="29"/>
    <x v="28"/>
    <x v="1"/>
    <x v="1"/>
    <n v="6"/>
    <n v="8500"/>
    <n v="51000"/>
    <s v="Cash"/>
    <s v="Regular"/>
    <x v="0"/>
    <s v="January"/>
  </r>
  <r>
    <x v="30"/>
    <x v="29"/>
    <x v="1"/>
    <x v="1"/>
    <n v="1"/>
    <n v="8500"/>
    <n v="8500"/>
    <s v="Card"/>
    <s v="New"/>
    <x v="3"/>
    <s v="March"/>
  </r>
  <r>
    <x v="31"/>
    <x v="30"/>
    <x v="11"/>
    <x v="4"/>
    <n v="2"/>
    <n v="2800"/>
    <n v="5600"/>
    <s v="POS"/>
    <s v="Regular"/>
    <x v="3"/>
    <s v="May"/>
  </r>
  <r>
    <x v="32"/>
    <x v="31"/>
    <x v="9"/>
    <x v="5"/>
    <n v="1"/>
    <n v="1200"/>
    <n v="1200"/>
    <s v="Cash"/>
    <s v="New"/>
    <x v="2"/>
    <s v="February"/>
  </r>
  <r>
    <x v="33"/>
    <x v="32"/>
    <x v="9"/>
    <x v="5"/>
    <n v="4"/>
    <n v="1200"/>
    <n v="4800"/>
    <s v="Cash"/>
    <s v="Regular"/>
    <x v="0"/>
    <s v="April"/>
  </r>
  <r>
    <x v="34"/>
    <x v="33"/>
    <x v="9"/>
    <x v="5"/>
    <n v="1"/>
    <n v="1200"/>
    <n v="1200"/>
    <s v="Card"/>
    <s v="Regular"/>
    <x v="1"/>
    <s v="March"/>
  </r>
  <r>
    <x v="35"/>
    <x v="34"/>
    <x v="4"/>
    <x v="3"/>
    <n v="2"/>
    <n v="1000"/>
    <n v="2000"/>
    <s v="POS"/>
    <s v="Regular"/>
    <x v="2"/>
    <s v="April"/>
  </r>
  <r>
    <x v="36"/>
    <x v="35"/>
    <x v="7"/>
    <x v="5"/>
    <n v="1"/>
    <n v="1800"/>
    <n v="1800"/>
    <s v="POS"/>
    <s v="Regular"/>
    <x v="0"/>
    <s v="March"/>
  </r>
  <r>
    <x v="37"/>
    <x v="30"/>
    <x v="8"/>
    <x v="3"/>
    <n v="1"/>
    <n v="4500"/>
    <n v="4500"/>
    <s v="Cash"/>
    <s v="Regular"/>
    <x v="1"/>
    <s v="May"/>
  </r>
  <r>
    <x v="38"/>
    <x v="36"/>
    <x v="9"/>
    <x v="5"/>
    <n v="4"/>
    <n v="1200"/>
    <n v="4800"/>
    <s v="Card"/>
    <s v="New"/>
    <x v="0"/>
    <s v="May"/>
  </r>
  <r>
    <x v="39"/>
    <x v="18"/>
    <x v="0"/>
    <x v="0"/>
    <n v="1"/>
    <n v="1800"/>
    <n v="1800"/>
    <s v="POS"/>
    <s v="New"/>
    <x v="3"/>
    <s v="April"/>
  </r>
  <r>
    <x v="40"/>
    <x v="26"/>
    <x v="6"/>
    <x v="4"/>
    <n v="6"/>
    <n v="4200"/>
    <n v="25200"/>
    <s v="POS"/>
    <s v="Regular"/>
    <x v="1"/>
    <s v="April"/>
  </r>
  <r>
    <x v="41"/>
    <x v="4"/>
    <x v="6"/>
    <x v="4"/>
    <n v="1"/>
    <n v="4200"/>
    <n v="4200"/>
    <s v="Cash"/>
    <s v="New"/>
    <x v="0"/>
    <s v="February"/>
  </r>
  <r>
    <x v="42"/>
    <x v="37"/>
    <x v="1"/>
    <x v="1"/>
    <n v="4"/>
    <n v="8500"/>
    <n v="34000"/>
    <s v="Card"/>
    <s v="Regular"/>
    <x v="0"/>
    <s v="May"/>
  </r>
  <r>
    <x v="43"/>
    <x v="38"/>
    <x v="0"/>
    <x v="0"/>
    <n v="5"/>
    <n v="1800"/>
    <n v="9000"/>
    <s v="Cash"/>
    <s v="Regular"/>
    <x v="3"/>
    <s v="January"/>
  </r>
  <r>
    <x v="44"/>
    <x v="24"/>
    <x v="3"/>
    <x v="1"/>
    <n v="2"/>
    <n v="3200"/>
    <n v="6400"/>
    <s v="Cash"/>
    <s v="Regular"/>
    <x v="3"/>
    <s v="May"/>
  </r>
  <r>
    <x v="45"/>
    <x v="37"/>
    <x v="8"/>
    <x v="3"/>
    <n v="5"/>
    <n v="4500"/>
    <n v="22500"/>
    <s v="Transfer"/>
    <s v="New"/>
    <x v="1"/>
    <s v="May"/>
  </r>
  <r>
    <x v="46"/>
    <x v="39"/>
    <x v="8"/>
    <x v="3"/>
    <n v="2"/>
    <n v="4500"/>
    <n v="9000"/>
    <s v="Transfer"/>
    <s v="New"/>
    <x v="1"/>
    <s v="March"/>
  </r>
  <r>
    <x v="47"/>
    <x v="40"/>
    <x v="8"/>
    <x v="3"/>
    <n v="4"/>
    <n v="4500"/>
    <n v="18000"/>
    <s v="Transfer"/>
    <s v="Regular"/>
    <x v="0"/>
    <s v="March"/>
  </r>
  <r>
    <x v="48"/>
    <x v="41"/>
    <x v="7"/>
    <x v="5"/>
    <n v="1"/>
    <n v="1800"/>
    <n v="1800"/>
    <s v="Cash"/>
    <s v="Regular"/>
    <x v="2"/>
    <s v="May"/>
  </r>
  <r>
    <x v="49"/>
    <x v="42"/>
    <x v="0"/>
    <x v="0"/>
    <n v="1"/>
    <n v="1800"/>
    <n v="1800"/>
    <s v="Card"/>
    <s v="New"/>
    <x v="2"/>
    <s v="March"/>
  </r>
  <r>
    <x v="50"/>
    <x v="43"/>
    <x v="0"/>
    <x v="0"/>
    <n v="5"/>
    <n v="1800"/>
    <n v="9000"/>
    <s v="Transfer"/>
    <s v="Regular"/>
    <x v="2"/>
    <s v="April"/>
  </r>
  <r>
    <x v="51"/>
    <x v="0"/>
    <x v="8"/>
    <x v="3"/>
    <n v="2"/>
    <n v="4500"/>
    <n v="9000"/>
    <s v="Transfer"/>
    <s v="Regular"/>
    <x v="0"/>
    <s v="January"/>
  </r>
  <r>
    <x v="52"/>
    <x v="44"/>
    <x v="2"/>
    <x v="2"/>
    <n v="2"/>
    <n v="3800"/>
    <n v="7600"/>
    <s v="Transfer"/>
    <s v="New"/>
    <x v="1"/>
    <s v="May"/>
  </r>
  <r>
    <x v="53"/>
    <x v="45"/>
    <x v="2"/>
    <x v="2"/>
    <n v="2"/>
    <n v="3800"/>
    <n v="7600"/>
    <s v="Transfer"/>
    <s v="New"/>
    <x v="2"/>
    <s v="March"/>
  </r>
  <r>
    <x v="54"/>
    <x v="1"/>
    <x v="1"/>
    <x v="1"/>
    <n v="6"/>
    <n v="8500"/>
    <n v="51000"/>
    <s v="POS"/>
    <s v="New"/>
    <x v="0"/>
    <s v="January"/>
  </r>
  <r>
    <x v="55"/>
    <x v="46"/>
    <x v="1"/>
    <x v="1"/>
    <n v="2"/>
    <n v="8500"/>
    <n v="17000"/>
    <s v="Transfer"/>
    <s v="Regular"/>
    <x v="3"/>
    <s v="March"/>
  </r>
  <r>
    <x v="56"/>
    <x v="47"/>
    <x v="4"/>
    <x v="3"/>
    <n v="5"/>
    <n v="1000"/>
    <n v="5000"/>
    <s v="Cash"/>
    <s v="Regular"/>
    <x v="0"/>
    <s v="April"/>
  </r>
  <r>
    <x v="57"/>
    <x v="48"/>
    <x v="2"/>
    <x v="2"/>
    <n v="5"/>
    <n v="3800"/>
    <n v="19000"/>
    <s v="Cash"/>
    <s v="New"/>
    <x v="1"/>
    <s v="February"/>
  </r>
  <r>
    <x v="58"/>
    <x v="25"/>
    <x v="9"/>
    <x v="5"/>
    <n v="1"/>
    <n v="1200"/>
    <n v="1200"/>
    <s v="Transfer"/>
    <s v="New"/>
    <x v="0"/>
    <s v="February"/>
  </r>
  <r>
    <x v="59"/>
    <x v="49"/>
    <x v="10"/>
    <x v="4"/>
    <n v="6"/>
    <n v="1500"/>
    <n v="9000"/>
    <s v="Card"/>
    <s v="Regular"/>
    <x v="2"/>
    <s v="February"/>
  </r>
  <r>
    <x v="60"/>
    <x v="50"/>
    <x v="4"/>
    <x v="3"/>
    <n v="5"/>
    <n v="1000"/>
    <n v="5000"/>
    <s v="Card"/>
    <s v="Regular"/>
    <x v="1"/>
    <s v="April"/>
  </r>
  <r>
    <x v="61"/>
    <x v="32"/>
    <x v="0"/>
    <x v="0"/>
    <n v="1"/>
    <n v="1800"/>
    <n v="1800"/>
    <s v="Card"/>
    <s v="New"/>
    <x v="3"/>
    <s v="April"/>
  </r>
  <r>
    <x v="62"/>
    <x v="35"/>
    <x v="8"/>
    <x v="3"/>
    <n v="3"/>
    <n v="4500"/>
    <n v="13500"/>
    <s v="Card"/>
    <s v="Regular"/>
    <x v="3"/>
    <s v="March"/>
  </r>
  <r>
    <x v="63"/>
    <x v="51"/>
    <x v="1"/>
    <x v="1"/>
    <n v="2"/>
    <n v="8500"/>
    <n v="17000"/>
    <s v="Card"/>
    <s v="New"/>
    <x v="2"/>
    <s v="May"/>
  </r>
  <r>
    <x v="64"/>
    <x v="12"/>
    <x v="6"/>
    <x v="4"/>
    <n v="2"/>
    <n v="4200"/>
    <n v="8400"/>
    <s v="Cash"/>
    <s v="Regular"/>
    <x v="3"/>
    <s v="February"/>
  </r>
  <r>
    <x v="65"/>
    <x v="52"/>
    <x v="10"/>
    <x v="4"/>
    <n v="1"/>
    <n v="1500"/>
    <n v="1500"/>
    <s v="Transfer"/>
    <s v="New"/>
    <x v="3"/>
    <s v="March"/>
  </r>
  <r>
    <x v="66"/>
    <x v="53"/>
    <x v="8"/>
    <x v="3"/>
    <n v="3"/>
    <n v="4500"/>
    <n v="13500"/>
    <s v="Cash"/>
    <s v="Regular"/>
    <x v="2"/>
    <s v="May"/>
  </r>
  <r>
    <x v="67"/>
    <x v="54"/>
    <x v="0"/>
    <x v="0"/>
    <n v="3"/>
    <n v="1800"/>
    <n v="5400"/>
    <s v="Cash"/>
    <s v="Regular"/>
    <x v="3"/>
    <s v="May"/>
  </r>
  <r>
    <x v="68"/>
    <x v="39"/>
    <x v="10"/>
    <x v="4"/>
    <n v="4"/>
    <n v="1500"/>
    <n v="6000"/>
    <s v="Cash"/>
    <s v="New"/>
    <x v="1"/>
    <s v="March"/>
  </r>
  <r>
    <x v="69"/>
    <x v="55"/>
    <x v="6"/>
    <x v="4"/>
    <n v="6"/>
    <n v="4200"/>
    <n v="25200"/>
    <s v="POS"/>
    <s v="Regular"/>
    <x v="1"/>
    <s v="January"/>
  </r>
  <r>
    <x v="70"/>
    <x v="56"/>
    <x v="10"/>
    <x v="4"/>
    <n v="1"/>
    <n v="1500"/>
    <n v="1500"/>
    <s v="Transfer"/>
    <s v="New"/>
    <x v="0"/>
    <s v="April"/>
  </r>
  <r>
    <x v="71"/>
    <x v="40"/>
    <x v="2"/>
    <x v="2"/>
    <n v="5"/>
    <n v="3800"/>
    <n v="19000"/>
    <s v="Transfer"/>
    <s v="New"/>
    <x v="2"/>
    <s v="March"/>
  </r>
  <r>
    <x v="72"/>
    <x v="57"/>
    <x v="9"/>
    <x v="5"/>
    <n v="5"/>
    <n v="1200"/>
    <n v="6000"/>
    <s v="Card"/>
    <s v="Regular"/>
    <x v="3"/>
    <s v="March"/>
  </r>
  <r>
    <x v="73"/>
    <x v="18"/>
    <x v="8"/>
    <x v="3"/>
    <n v="6"/>
    <n v="4500"/>
    <n v="27000"/>
    <s v="Card"/>
    <s v="New"/>
    <x v="3"/>
    <s v="April"/>
  </r>
  <r>
    <x v="74"/>
    <x v="58"/>
    <x v="4"/>
    <x v="3"/>
    <n v="3"/>
    <n v="1000"/>
    <n v="3000"/>
    <s v="Transfer"/>
    <s v="Regular"/>
    <x v="3"/>
    <s v="January"/>
  </r>
  <r>
    <x v="75"/>
    <x v="59"/>
    <x v="5"/>
    <x v="3"/>
    <n v="4"/>
    <n v="500"/>
    <n v="2000"/>
    <s v="POS"/>
    <s v="New"/>
    <x v="1"/>
    <s v="March"/>
  </r>
  <r>
    <x v="76"/>
    <x v="60"/>
    <x v="4"/>
    <x v="3"/>
    <n v="6"/>
    <n v="1000"/>
    <n v="6000"/>
    <s v="Card"/>
    <s v="Regular"/>
    <x v="2"/>
    <s v="May"/>
  </r>
  <r>
    <x v="77"/>
    <x v="46"/>
    <x v="4"/>
    <x v="3"/>
    <n v="1"/>
    <n v="1000"/>
    <n v="1000"/>
    <s v="Card"/>
    <s v="New"/>
    <x v="1"/>
    <s v="March"/>
  </r>
  <r>
    <x v="78"/>
    <x v="61"/>
    <x v="11"/>
    <x v="4"/>
    <n v="1"/>
    <n v="2800"/>
    <n v="2800"/>
    <s v="Cash"/>
    <s v="Regular"/>
    <x v="3"/>
    <s v="February"/>
  </r>
  <r>
    <x v="79"/>
    <x v="28"/>
    <x v="5"/>
    <x v="3"/>
    <n v="4"/>
    <n v="500"/>
    <n v="2000"/>
    <s v="POS"/>
    <s v="Regular"/>
    <x v="3"/>
    <s v="January"/>
  </r>
  <r>
    <x v="80"/>
    <x v="62"/>
    <x v="7"/>
    <x v="5"/>
    <n v="2"/>
    <n v="1800"/>
    <n v="3600"/>
    <s v="Card"/>
    <s v="Regular"/>
    <x v="0"/>
    <s v="April"/>
  </r>
  <r>
    <x v="81"/>
    <x v="16"/>
    <x v="9"/>
    <x v="5"/>
    <n v="2"/>
    <n v="1200"/>
    <n v="2400"/>
    <s v="POS"/>
    <s v="Regular"/>
    <x v="1"/>
    <s v="February"/>
  </r>
  <r>
    <x v="82"/>
    <x v="63"/>
    <x v="3"/>
    <x v="1"/>
    <n v="2"/>
    <n v="3200"/>
    <n v="6400"/>
    <s v="POS"/>
    <s v="New"/>
    <x v="3"/>
    <s v="April"/>
  </r>
  <r>
    <x v="83"/>
    <x v="64"/>
    <x v="5"/>
    <x v="3"/>
    <n v="4"/>
    <n v="500"/>
    <n v="2000"/>
    <s v="POS"/>
    <s v="Regular"/>
    <x v="3"/>
    <s v="May"/>
  </r>
  <r>
    <x v="84"/>
    <x v="65"/>
    <x v="7"/>
    <x v="5"/>
    <n v="2"/>
    <n v="1800"/>
    <n v="3600"/>
    <s v="Transfer"/>
    <s v="New"/>
    <x v="1"/>
    <s v="March"/>
  </r>
  <r>
    <x v="85"/>
    <x v="43"/>
    <x v="6"/>
    <x v="4"/>
    <n v="1"/>
    <n v="4200"/>
    <n v="4200"/>
    <s v="Transfer"/>
    <s v="Regular"/>
    <x v="2"/>
    <s v="April"/>
  </r>
  <r>
    <x v="86"/>
    <x v="66"/>
    <x v="10"/>
    <x v="4"/>
    <n v="5"/>
    <n v="1500"/>
    <n v="7500"/>
    <s v="Cash"/>
    <s v="Regular"/>
    <x v="1"/>
    <s v="March"/>
  </r>
  <r>
    <x v="87"/>
    <x v="50"/>
    <x v="9"/>
    <x v="5"/>
    <n v="3"/>
    <n v="1200"/>
    <n v="3600"/>
    <s v="POS"/>
    <s v="New"/>
    <x v="0"/>
    <s v="April"/>
  </r>
  <r>
    <x v="88"/>
    <x v="67"/>
    <x v="11"/>
    <x v="4"/>
    <n v="4"/>
    <n v="2800"/>
    <n v="11200"/>
    <s v="Cash"/>
    <s v="New"/>
    <x v="3"/>
    <s v="April"/>
  </r>
  <r>
    <x v="89"/>
    <x v="68"/>
    <x v="1"/>
    <x v="1"/>
    <n v="3"/>
    <n v="8500"/>
    <n v="25500"/>
    <s v="POS"/>
    <s v="New"/>
    <x v="1"/>
    <s v="April"/>
  </r>
  <r>
    <x v="90"/>
    <x v="16"/>
    <x v="7"/>
    <x v="5"/>
    <n v="3"/>
    <n v="1800"/>
    <n v="5400"/>
    <s v="POS"/>
    <s v="New"/>
    <x v="0"/>
    <s v="February"/>
  </r>
  <r>
    <x v="91"/>
    <x v="33"/>
    <x v="9"/>
    <x v="5"/>
    <n v="6"/>
    <n v="1200"/>
    <n v="7200"/>
    <s v="POS"/>
    <s v="Regular"/>
    <x v="3"/>
    <s v="March"/>
  </r>
  <r>
    <x v="92"/>
    <x v="69"/>
    <x v="0"/>
    <x v="0"/>
    <n v="1"/>
    <n v="1800"/>
    <n v="1800"/>
    <s v="POS"/>
    <s v="Regular"/>
    <x v="0"/>
    <s v="May"/>
  </r>
  <r>
    <x v="93"/>
    <x v="47"/>
    <x v="8"/>
    <x v="3"/>
    <n v="2"/>
    <n v="4500"/>
    <n v="9000"/>
    <s v="POS"/>
    <s v="Regular"/>
    <x v="0"/>
    <s v="April"/>
  </r>
  <r>
    <x v="94"/>
    <x v="18"/>
    <x v="6"/>
    <x v="4"/>
    <n v="3"/>
    <n v="4200"/>
    <n v="12600"/>
    <s v="Card"/>
    <s v="New"/>
    <x v="2"/>
    <s v="April"/>
  </r>
  <r>
    <x v="95"/>
    <x v="18"/>
    <x v="10"/>
    <x v="4"/>
    <n v="3"/>
    <n v="1500"/>
    <n v="4500"/>
    <s v="POS"/>
    <s v="New"/>
    <x v="0"/>
    <s v="April"/>
  </r>
  <r>
    <x v="96"/>
    <x v="70"/>
    <x v="7"/>
    <x v="5"/>
    <n v="6"/>
    <n v="1800"/>
    <n v="10800"/>
    <s v="Cash"/>
    <s v="New"/>
    <x v="1"/>
    <s v="January"/>
  </r>
  <r>
    <x v="97"/>
    <x v="38"/>
    <x v="8"/>
    <x v="3"/>
    <n v="6"/>
    <n v="4500"/>
    <n v="27000"/>
    <s v="Cash"/>
    <s v="Regular"/>
    <x v="1"/>
    <s v="January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3">
  <r>
    <x v="0"/>
    <n v="40800"/>
  </r>
  <r>
    <x v="1"/>
    <n v="9000"/>
  </r>
  <r>
    <x v="2"/>
    <n v="57600"/>
  </r>
  <r>
    <x v="3"/>
    <n v="229500"/>
  </r>
  <r>
    <x v="4"/>
    <n v="96600"/>
  </r>
  <r>
    <x v="5"/>
    <n v="87400"/>
  </r>
  <r>
    <x v="6"/>
    <n v="30800"/>
  </r>
  <r>
    <x v="7"/>
    <n v="30600"/>
  </r>
  <r>
    <x v="8"/>
    <n v="306000"/>
  </r>
  <r>
    <x v="9"/>
    <n v="35000"/>
  </r>
  <r>
    <x v="10"/>
    <n v="57600"/>
  </r>
  <r>
    <x v="11"/>
    <n v="33000"/>
  </r>
  <r>
    <x v="12"/>
    <n v="10139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5">
  <r>
    <x v="0"/>
    <n v="293900"/>
  </r>
  <r>
    <x v="1"/>
    <n v="202100"/>
  </r>
  <r>
    <x v="2"/>
    <n v="308500"/>
  </r>
  <r>
    <x v="3"/>
    <n v="209400"/>
  </r>
  <r>
    <x v="4"/>
    <n v="10139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2">
  <r>
    <x v="0"/>
    <n v="40800"/>
  </r>
  <r>
    <x v="1"/>
    <n v="9000"/>
  </r>
  <r>
    <x v="2"/>
    <n v="57600"/>
  </r>
  <r>
    <x v="3"/>
    <n v="229500"/>
  </r>
  <r>
    <x v="4"/>
    <n v="96600"/>
  </r>
  <r>
    <x v="5"/>
    <n v="87400"/>
  </r>
  <r>
    <x v="6"/>
    <n v="30800"/>
  </r>
  <r>
    <x v="7"/>
    <n v="30600"/>
  </r>
  <r>
    <x v="8"/>
    <n v="306000"/>
  </r>
  <r>
    <x v="9"/>
    <n v="35000"/>
  </r>
  <r>
    <x v="10"/>
    <n v="57600"/>
  </r>
  <r>
    <x v="11"/>
    <n v="33000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5">
  <r>
    <x v="0"/>
    <n v="159200"/>
  </r>
  <r>
    <x v="1"/>
    <n v="169900"/>
  </r>
  <r>
    <x v="2"/>
    <n v="170700"/>
  </r>
  <r>
    <x v="3"/>
    <n v="224500"/>
  </r>
  <r>
    <x v="4"/>
    <n v="28960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6">
  <r>
    <x v="0"/>
    <n v="57600"/>
  </r>
  <r>
    <x v="1"/>
    <n v="71400"/>
  </r>
  <r>
    <x v="2"/>
    <n v="87400"/>
  </r>
  <r>
    <x v="3"/>
    <n v="160400"/>
  </r>
  <r>
    <x v="4"/>
    <n v="273500"/>
  </r>
  <r>
    <x v="5"/>
    <n v="36360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100">
  <r>
    <s v="Order Id"/>
    <s v="Date"/>
    <x v="0"/>
    <x v="0"/>
    <s v="Quantity"/>
    <s v="Unit Price"/>
    <s v="Sales Amount"/>
    <s v="Payment Method"/>
    <s v="Customer Type"/>
    <x v="0"/>
    <x v="0"/>
  </r>
  <r>
    <s v="FM0001"/>
    <d v="2026-01-29T00:00:00"/>
    <x v="1"/>
    <x v="1"/>
    <n v="1"/>
    <n v="4500"/>
    <n v="4500"/>
    <s v="Transfer"/>
    <s v="Regular"/>
    <x v="1"/>
    <x v="1"/>
  </r>
  <r>
    <s v="FM0002"/>
    <d v="2026-01-27T00:00:00"/>
    <x v="2"/>
    <x v="2"/>
    <n v="6"/>
    <n v="1800"/>
    <n v="10800"/>
    <s v="Cash"/>
    <s v="New"/>
    <x v="2"/>
    <x v="1"/>
  </r>
  <r>
    <s v="FM0003"/>
    <d v="2026-01-24T00:00:00"/>
    <x v="3"/>
    <x v="3"/>
    <n v="2"/>
    <n v="8500"/>
    <n v="17000"/>
    <s v="Card"/>
    <s v="Regular"/>
    <x v="1"/>
    <x v="1"/>
  </r>
  <r>
    <s v="FM0004"/>
    <d v="2026-05-20T00:00:00"/>
    <x v="4"/>
    <x v="4"/>
    <n v="4"/>
    <n v="3800"/>
    <n v="15200"/>
    <s v="Card"/>
    <s v="New"/>
    <x v="3"/>
    <x v="2"/>
  </r>
  <r>
    <s v="FM0005"/>
    <d v="2026-02-10T00:00:00"/>
    <x v="3"/>
    <x v="3"/>
    <n v="6"/>
    <n v="8500"/>
    <n v="51000"/>
    <s v="POS"/>
    <s v="New"/>
    <x v="3"/>
    <x v="3"/>
  </r>
  <r>
    <s v="FM0006"/>
    <d v="2026-02-25T00:00:00"/>
    <x v="2"/>
    <x v="2"/>
    <n v="3"/>
    <n v="1800"/>
    <n v="5400"/>
    <s v="Cash"/>
    <s v="Regular"/>
    <x v="4"/>
    <x v="3"/>
  </r>
  <r>
    <s v="FM0007"/>
    <d v="2026-04-02T00:00:00"/>
    <x v="5"/>
    <x v="3"/>
    <n v="3"/>
    <n v="3200"/>
    <n v="9600"/>
    <s v="Transfer"/>
    <s v="Regular"/>
    <x v="4"/>
    <x v="4"/>
  </r>
  <r>
    <s v="FM0008"/>
    <d v="2026-02-01T00:00:00"/>
    <x v="6"/>
    <x v="1"/>
    <n v="4"/>
    <n v="1000"/>
    <n v="4000"/>
    <s v="Cash"/>
    <s v="New"/>
    <x v="3"/>
    <x v="3"/>
  </r>
  <r>
    <s v="FM0009"/>
    <d v="2026-02-19T00:00:00"/>
    <x v="7"/>
    <x v="1"/>
    <n v="6"/>
    <n v="500"/>
    <n v="3000"/>
    <s v="Cash"/>
    <s v="Regular"/>
    <x v="1"/>
    <x v="3"/>
  </r>
  <r>
    <s v="FM0010"/>
    <d v="2026-01-21T00:00:00"/>
    <x v="8"/>
    <x v="5"/>
    <n v="2"/>
    <n v="4200"/>
    <n v="8400"/>
    <s v="Cash"/>
    <s v="New"/>
    <x v="3"/>
    <x v="1"/>
  </r>
  <r>
    <s v="FM0011"/>
    <d v="2026-04-04T00:00:00"/>
    <x v="9"/>
    <x v="6"/>
    <n v="2"/>
    <n v="1800"/>
    <n v="3600"/>
    <s v="Transfer"/>
    <s v="New"/>
    <x v="1"/>
    <x v="4"/>
  </r>
  <r>
    <s v="FM0012"/>
    <d v="2026-03-10T00:00:00"/>
    <x v="1"/>
    <x v="1"/>
    <n v="6"/>
    <n v="4500"/>
    <n v="27000"/>
    <s v="Cash"/>
    <s v="Regular"/>
    <x v="1"/>
    <x v="5"/>
  </r>
  <r>
    <s v="FM0013"/>
    <d v="2026-04-29T00:00:00"/>
    <x v="2"/>
    <x v="2"/>
    <n v="4"/>
    <n v="1800"/>
    <n v="7200"/>
    <s v="Transfer"/>
    <s v="Regular"/>
    <x v="3"/>
    <x v="4"/>
  </r>
  <r>
    <s v="FM0014"/>
    <d v="2026-02-28T00:00:00"/>
    <x v="3"/>
    <x v="3"/>
    <n v="1"/>
    <n v="8500"/>
    <n v="8500"/>
    <s v="Transfer"/>
    <s v="New"/>
    <x v="3"/>
    <x v="3"/>
  </r>
  <r>
    <s v="FM0015"/>
    <d v="2026-02-24T00:00:00"/>
    <x v="5"/>
    <x v="3"/>
    <n v="5"/>
    <n v="3200"/>
    <n v="16000"/>
    <s v="Transfer"/>
    <s v="Regular"/>
    <x v="4"/>
    <x v="3"/>
  </r>
  <r>
    <s v="FM0016"/>
    <d v="2026-04-28T00:00:00"/>
    <x v="10"/>
    <x v="6"/>
    <n v="2"/>
    <n v="1200"/>
    <n v="2400"/>
    <s v="Transfer"/>
    <s v="Regular"/>
    <x v="1"/>
    <x v="4"/>
  </r>
  <r>
    <s v="FM0017"/>
    <d v="2026-05-24T00:00:00"/>
    <x v="4"/>
    <x v="4"/>
    <n v="5"/>
    <n v="3800"/>
    <n v="19000"/>
    <s v="Transfer"/>
    <s v="New"/>
    <x v="4"/>
    <x v="2"/>
  </r>
  <r>
    <s v="FM0018"/>
    <d v="2026-02-26T00:00:00"/>
    <x v="11"/>
    <x v="5"/>
    <n v="2"/>
    <n v="1500"/>
    <n v="3000"/>
    <s v="POS"/>
    <s v="Regular"/>
    <x v="2"/>
    <x v="3"/>
  </r>
  <r>
    <s v="FM0019"/>
    <d v="2026-02-09T00:00:00"/>
    <x v="5"/>
    <x v="3"/>
    <n v="6"/>
    <n v="3200"/>
    <n v="19200"/>
    <s v="Card"/>
    <s v="New"/>
    <x v="2"/>
    <x v="3"/>
  </r>
  <r>
    <s v="FM0020"/>
    <d v="2026-04-08T00:00:00"/>
    <x v="10"/>
    <x v="6"/>
    <n v="5"/>
    <n v="1200"/>
    <n v="6000"/>
    <s v="POS"/>
    <s v="New"/>
    <x v="2"/>
    <x v="4"/>
  </r>
  <r>
    <s v="FM0021"/>
    <d v="2026-01-30T00:00:00"/>
    <x v="1"/>
    <x v="1"/>
    <n v="6"/>
    <n v="4500"/>
    <n v="27000"/>
    <s v="Transfer"/>
    <s v="New"/>
    <x v="2"/>
    <x v="1"/>
  </r>
  <r>
    <s v="FM0022"/>
    <d v="2026-04-22T00:00:00"/>
    <x v="8"/>
    <x v="5"/>
    <n v="2"/>
    <n v="4200"/>
    <n v="8400"/>
    <s v="Transfer"/>
    <s v="Regular"/>
    <x v="3"/>
    <x v="4"/>
  </r>
  <r>
    <s v="FM0023"/>
    <d v="2026-02-15T00:00:00"/>
    <x v="6"/>
    <x v="1"/>
    <n v="5"/>
    <n v="1000"/>
    <n v="5000"/>
    <s v="Cash"/>
    <s v="New"/>
    <x v="1"/>
    <x v="3"/>
  </r>
  <r>
    <s v="FM0024"/>
    <d v="2026-04-06T00:00:00"/>
    <x v="2"/>
    <x v="2"/>
    <n v="2"/>
    <n v="1800"/>
    <n v="3600"/>
    <s v="Cash"/>
    <s v="New"/>
    <x v="4"/>
    <x v="4"/>
  </r>
  <r>
    <s v="FM0025"/>
    <d v="2026-01-29T00:00:00"/>
    <x v="3"/>
    <x v="3"/>
    <n v="3"/>
    <n v="8500"/>
    <n v="25500"/>
    <s v="Transfer"/>
    <s v="Regular"/>
    <x v="2"/>
    <x v="1"/>
  </r>
  <r>
    <s v="FM0026"/>
    <d v="2026-05-26T00:00:00"/>
    <x v="12"/>
    <x v="5"/>
    <n v="1"/>
    <n v="2800"/>
    <n v="2800"/>
    <s v="Cash"/>
    <s v="New"/>
    <x v="2"/>
    <x v="2"/>
  </r>
  <r>
    <s v="FM0027"/>
    <d v="2026-02-02T00:00:00"/>
    <x v="6"/>
    <x v="1"/>
    <n v="2"/>
    <n v="1000"/>
    <n v="2000"/>
    <s v="POS"/>
    <s v="Regular"/>
    <x v="3"/>
    <x v="3"/>
  </r>
  <r>
    <s v="FM0028"/>
    <d v="2026-04-19T00:00:00"/>
    <x v="6"/>
    <x v="1"/>
    <n v="2"/>
    <n v="1000"/>
    <n v="2000"/>
    <s v="Card"/>
    <s v="New"/>
    <x v="4"/>
    <x v="4"/>
  </r>
  <r>
    <s v="FM0029"/>
    <d v="2026-04-06T00:00:00"/>
    <x v="1"/>
    <x v="1"/>
    <n v="4"/>
    <n v="4500"/>
    <n v="18000"/>
    <s v="POS"/>
    <s v="Regular"/>
    <x v="1"/>
    <x v="4"/>
  </r>
  <r>
    <s v="FM0030"/>
    <d v="2026-01-17T00:00:00"/>
    <x v="12"/>
    <x v="5"/>
    <n v="3"/>
    <n v="2800"/>
    <n v="8400"/>
    <s v="Cash"/>
    <s v="Regular"/>
    <x v="1"/>
    <x v="1"/>
  </r>
  <r>
    <s v="FM0031"/>
    <d v="2026-01-19T00:00:00"/>
    <x v="3"/>
    <x v="3"/>
    <n v="6"/>
    <n v="8500"/>
    <n v="51000"/>
    <s v="Cash"/>
    <s v="Regular"/>
    <x v="2"/>
    <x v="1"/>
  </r>
  <r>
    <s v="FM0032"/>
    <d v="2026-03-26T00:00:00"/>
    <x v="3"/>
    <x v="3"/>
    <n v="1"/>
    <n v="8500"/>
    <n v="8500"/>
    <s v="Card"/>
    <s v="New"/>
    <x v="4"/>
    <x v="5"/>
  </r>
  <r>
    <s v="FM0033"/>
    <d v="2026-05-19T00:00:00"/>
    <x v="12"/>
    <x v="5"/>
    <n v="2"/>
    <n v="2800"/>
    <n v="5600"/>
    <s v="POS"/>
    <s v="Regular"/>
    <x v="4"/>
    <x v="2"/>
  </r>
  <r>
    <s v="FM0034"/>
    <d v="2026-02-18T00:00:00"/>
    <x v="10"/>
    <x v="6"/>
    <n v="1"/>
    <n v="1200"/>
    <n v="1200"/>
    <s v="Cash"/>
    <s v="New"/>
    <x v="3"/>
    <x v="3"/>
  </r>
  <r>
    <s v="FM0035"/>
    <d v="2026-04-16T00:00:00"/>
    <x v="10"/>
    <x v="6"/>
    <n v="4"/>
    <n v="1200"/>
    <n v="4800"/>
    <s v="Cash"/>
    <s v="Regular"/>
    <x v="2"/>
    <x v="4"/>
  </r>
  <r>
    <s v="FM0036"/>
    <d v="2026-03-28T00:00:00"/>
    <x v="10"/>
    <x v="6"/>
    <n v="1"/>
    <n v="1200"/>
    <n v="1200"/>
    <s v="Card"/>
    <s v="Regular"/>
    <x v="1"/>
    <x v="5"/>
  </r>
  <r>
    <s v="FM0037"/>
    <d v="2026-04-25T00:00:00"/>
    <x v="6"/>
    <x v="1"/>
    <n v="2"/>
    <n v="1000"/>
    <n v="2000"/>
    <s v="POS"/>
    <s v="Regular"/>
    <x v="3"/>
    <x v="4"/>
  </r>
  <r>
    <s v="FM0038"/>
    <d v="2026-03-05T00:00:00"/>
    <x v="9"/>
    <x v="6"/>
    <n v="1"/>
    <n v="1800"/>
    <n v="1800"/>
    <s v="POS"/>
    <s v="Regular"/>
    <x v="2"/>
    <x v="5"/>
  </r>
  <r>
    <s v="FM0039"/>
    <d v="2026-05-19T00:00:00"/>
    <x v="1"/>
    <x v="1"/>
    <n v="1"/>
    <n v="4500"/>
    <n v="4500"/>
    <s v="Cash"/>
    <s v="Regular"/>
    <x v="1"/>
    <x v="2"/>
  </r>
  <r>
    <s v="FM0040"/>
    <d v="2026-05-05T00:00:00"/>
    <x v="10"/>
    <x v="6"/>
    <n v="4"/>
    <n v="1200"/>
    <n v="4800"/>
    <s v="Card"/>
    <s v="New"/>
    <x v="2"/>
    <x v="2"/>
  </r>
  <r>
    <s v="FM0041"/>
    <d v="2026-04-08T00:00:00"/>
    <x v="2"/>
    <x v="2"/>
    <n v="1"/>
    <n v="1800"/>
    <n v="1800"/>
    <s v="POS"/>
    <s v="New"/>
    <x v="4"/>
    <x v="4"/>
  </r>
  <r>
    <s v="FM0042"/>
    <d v="2026-04-19T00:00:00"/>
    <x v="8"/>
    <x v="5"/>
    <n v="6"/>
    <n v="4200"/>
    <n v="25200"/>
    <s v="POS"/>
    <s v="Regular"/>
    <x v="1"/>
    <x v="4"/>
  </r>
  <r>
    <s v="FM0043"/>
    <d v="2026-02-25T00:00:00"/>
    <x v="8"/>
    <x v="5"/>
    <n v="1"/>
    <n v="4200"/>
    <n v="4200"/>
    <s v="Cash"/>
    <s v="New"/>
    <x v="2"/>
    <x v="3"/>
  </r>
  <r>
    <s v="FM0044"/>
    <d v="2026-05-30T00:00:00"/>
    <x v="3"/>
    <x v="3"/>
    <n v="4"/>
    <n v="8500"/>
    <n v="34000"/>
    <s v="Card"/>
    <s v="Regular"/>
    <x v="2"/>
    <x v="2"/>
  </r>
  <r>
    <s v="FM0045"/>
    <d v="2026-01-18T00:00:00"/>
    <x v="2"/>
    <x v="2"/>
    <n v="5"/>
    <n v="1800"/>
    <n v="9000"/>
    <s v="Cash"/>
    <s v="Regular"/>
    <x v="4"/>
    <x v="1"/>
  </r>
  <r>
    <s v="FM0046"/>
    <d v="2026-05-26T00:00:00"/>
    <x v="5"/>
    <x v="3"/>
    <n v="2"/>
    <n v="3200"/>
    <n v="6400"/>
    <s v="Cash"/>
    <s v="Regular"/>
    <x v="4"/>
    <x v="2"/>
  </r>
  <r>
    <s v="FM0047"/>
    <d v="2026-05-30T00:00:00"/>
    <x v="1"/>
    <x v="1"/>
    <n v="5"/>
    <n v="4500"/>
    <n v="22500"/>
    <s v="Transfer"/>
    <s v="New"/>
    <x v="1"/>
    <x v="2"/>
  </r>
  <r>
    <s v="FM0048"/>
    <d v="2026-03-22T00:00:00"/>
    <x v="1"/>
    <x v="1"/>
    <n v="2"/>
    <n v="4500"/>
    <n v="9000"/>
    <s v="Transfer"/>
    <s v="New"/>
    <x v="1"/>
    <x v="5"/>
  </r>
  <r>
    <s v="FM0049"/>
    <d v="2026-03-18T00:00:00"/>
    <x v="1"/>
    <x v="1"/>
    <n v="4"/>
    <n v="4500"/>
    <n v="18000"/>
    <s v="Transfer"/>
    <s v="Regular"/>
    <x v="2"/>
    <x v="5"/>
  </r>
  <r>
    <s v="FM0050"/>
    <d v="2026-05-25T00:00:00"/>
    <x v="9"/>
    <x v="6"/>
    <n v="1"/>
    <n v="1800"/>
    <n v="1800"/>
    <s v="Cash"/>
    <s v="Regular"/>
    <x v="3"/>
    <x v="2"/>
  </r>
  <r>
    <s v="FM0051"/>
    <d v="2026-03-31T00:00:00"/>
    <x v="2"/>
    <x v="2"/>
    <n v="1"/>
    <n v="1800"/>
    <n v="1800"/>
    <s v="Card"/>
    <s v="New"/>
    <x v="3"/>
    <x v="5"/>
  </r>
  <r>
    <s v="FM0052"/>
    <d v="2026-04-23T00:00:00"/>
    <x v="2"/>
    <x v="2"/>
    <n v="5"/>
    <n v="1800"/>
    <n v="9000"/>
    <s v="Transfer"/>
    <s v="Regular"/>
    <x v="3"/>
    <x v="4"/>
  </r>
  <r>
    <s v="FM0053"/>
    <d v="2026-01-27T00:00:00"/>
    <x v="1"/>
    <x v="1"/>
    <n v="2"/>
    <n v="4500"/>
    <n v="9000"/>
    <s v="Transfer"/>
    <s v="Regular"/>
    <x v="2"/>
    <x v="1"/>
  </r>
  <r>
    <s v="FM0054"/>
    <d v="2026-05-22T00:00:00"/>
    <x v="4"/>
    <x v="4"/>
    <n v="2"/>
    <n v="3800"/>
    <n v="7600"/>
    <s v="Transfer"/>
    <s v="New"/>
    <x v="1"/>
    <x v="2"/>
  </r>
  <r>
    <s v="FM0055"/>
    <d v="2026-03-29T00:00:00"/>
    <x v="4"/>
    <x v="4"/>
    <n v="2"/>
    <n v="3800"/>
    <n v="7600"/>
    <s v="Transfer"/>
    <s v="New"/>
    <x v="3"/>
    <x v="5"/>
  </r>
  <r>
    <s v="FM0056"/>
    <d v="2026-01-24T00:00:00"/>
    <x v="3"/>
    <x v="3"/>
    <n v="6"/>
    <n v="8500"/>
    <n v="51000"/>
    <s v="POS"/>
    <s v="New"/>
    <x v="2"/>
    <x v="1"/>
  </r>
  <r>
    <s v="FM0057"/>
    <d v="2026-03-27T00:00:00"/>
    <x v="3"/>
    <x v="3"/>
    <n v="2"/>
    <n v="8500"/>
    <n v="17000"/>
    <s v="Transfer"/>
    <s v="Regular"/>
    <x v="4"/>
    <x v="5"/>
  </r>
  <r>
    <s v="FM0058"/>
    <d v="2026-04-20T00:00:00"/>
    <x v="6"/>
    <x v="1"/>
    <n v="5"/>
    <n v="1000"/>
    <n v="5000"/>
    <s v="Cash"/>
    <s v="Regular"/>
    <x v="2"/>
    <x v="4"/>
  </r>
  <r>
    <s v="FM0059"/>
    <d v="2026-02-08T00:00:00"/>
    <x v="4"/>
    <x v="4"/>
    <n v="5"/>
    <n v="3800"/>
    <n v="19000"/>
    <s v="Cash"/>
    <s v="New"/>
    <x v="1"/>
    <x v="3"/>
  </r>
  <r>
    <s v="FM0060"/>
    <d v="2026-02-02T00:00:00"/>
    <x v="10"/>
    <x v="6"/>
    <n v="1"/>
    <n v="1200"/>
    <n v="1200"/>
    <s v="Transfer"/>
    <s v="New"/>
    <x v="2"/>
    <x v="3"/>
  </r>
  <r>
    <s v="FM0061"/>
    <d v="2026-02-23T00:00:00"/>
    <x v="11"/>
    <x v="5"/>
    <n v="6"/>
    <n v="1500"/>
    <n v="9000"/>
    <s v="Card"/>
    <s v="Regular"/>
    <x v="3"/>
    <x v="3"/>
  </r>
  <r>
    <s v="FM0062"/>
    <d v="2026-04-15T00:00:00"/>
    <x v="6"/>
    <x v="1"/>
    <n v="5"/>
    <n v="1000"/>
    <n v="5000"/>
    <s v="Card"/>
    <s v="Regular"/>
    <x v="1"/>
    <x v="4"/>
  </r>
  <r>
    <s v="FM0063"/>
    <d v="2026-04-16T00:00:00"/>
    <x v="2"/>
    <x v="2"/>
    <n v="1"/>
    <n v="1800"/>
    <n v="1800"/>
    <s v="Card"/>
    <s v="New"/>
    <x v="4"/>
    <x v="4"/>
  </r>
  <r>
    <s v="FM0064"/>
    <d v="2026-03-05T00:00:00"/>
    <x v="1"/>
    <x v="1"/>
    <n v="3"/>
    <n v="4500"/>
    <n v="13500"/>
    <s v="Card"/>
    <s v="Regular"/>
    <x v="4"/>
    <x v="5"/>
  </r>
  <r>
    <s v="FM0065"/>
    <d v="2026-05-01T00:00:00"/>
    <x v="3"/>
    <x v="3"/>
    <n v="2"/>
    <n v="8500"/>
    <n v="17000"/>
    <s v="Card"/>
    <s v="New"/>
    <x v="3"/>
    <x v="2"/>
  </r>
  <r>
    <s v="FM0066"/>
    <d v="2026-02-28T00:00:00"/>
    <x v="8"/>
    <x v="5"/>
    <n v="2"/>
    <n v="4200"/>
    <n v="8400"/>
    <s v="Cash"/>
    <s v="Regular"/>
    <x v="4"/>
    <x v="3"/>
  </r>
  <r>
    <s v="FM0067"/>
    <d v="2026-03-13T00:00:00"/>
    <x v="11"/>
    <x v="5"/>
    <n v="1"/>
    <n v="1500"/>
    <n v="1500"/>
    <s v="Transfer"/>
    <s v="New"/>
    <x v="4"/>
    <x v="5"/>
  </r>
  <r>
    <s v="FM0068"/>
    <d v="2026-05-18T00:00:00"/>
    <x v="1"/>
    <x v="1"/>
    <n v="3"/>
    <n v="4500"/>
    <n v="13500"/>
    <s v="Cash"/>
    <s v="Regular"/>
    <x v="3"/>
    <x v="2"/>
  </r>
  <r>
    <s v="FM0069"/>
    <d v="2026-05-29T00:00:00"/>
    <x v="2"/>
    <x v="2"/>
    <n v="3"/>
    <n v="1800"/>
    <n v="5400"/>
    <s v="Cash"/>
    <s v="Regular"/>
    <x v="4"/>
    <x v="2"/>
  </r>
  <r>
    <s v="FM0070"/>
    <d v="2026-03-22T00:00:00"/>
    <x v="11"/>
    <x v="5"/>
    <n v="4"/>
    <n v="1500"/>
    <n v="6000"/>
    <s v="Cash"/>
    <s v="New"/>
    <x v="1"/>
    <x v="5"/>
  </r>
  <r>
    <s v="FM0071"/>
    <d v="2026-01-12T00:00:00"/>
    <x v="8"/>
    <x v="5"/>
    <n v="6"/>
    <n v="4200"/>
    <n v="25200"/>
    <s v="POS"/>
    <s v="Regular"/>
    <x v="1"/>
    <x v="1"/>
  </r>
  <r>
    <s v="FM0072"/>
    <d v="2026-04-21T00:00:00"/>
    <x v="11"/>
    <x v="5"/>
    <n v="1"/>
    <n v="1500"/>
    <n v="1500"/>
    <s v="Transfer"/>
    <s v="New"/>
    <x v="2"/>
    <x v="4"/>
  </r>
  <r>
    <s v="FM0073"/>
    <d v="2026-03-18T00:00:00"/>
    <x v="4"/>
    <x v="4"/>
    <n v="5"/>
    <n v="3800"/>
    <n v="19000"/>
    <s v="Transfer"/>
    <s v="New"/>
    <x v="3"/>
    <x v="5"/>
  </r>
  <r>
    <s v="FM0074"/>
    <d v="2026-03-17T00:00:00"/>
    <x v="10"/>
    <x v="6"/>
    <n v="5"/>
    <n v="1200"/>
    <n v="6000"/>
    <s v="Card"/>
    <s v="Regular"/>
    <x v="4"/>
    <x v="5"/>
  </r>
  <r>
    <s v="FM0075"/>
    <d v="2026-04-08T00:00:00"/>
    <x v="1"/>
    <x v="1"/>
    <n v="6"/>
    <n v="4500"/>
    <n v="27000"/>
    <s v="Card"/>
    <s v="New"/>
    <x v="4"/>
    <x v="4"/>
  </r>
  <r>
    <s v="FM0076"/>
    <d v="2026-01-01T00:00:00"/>
    <x v="6"/>
    <x v="1"/>
    <n v="3"/>
    <n v="1000"/>
    <n v="3000"/>
    <s v="Transfer"/>
    <s v="Regular"/>
    <x v="4"/>
    <x v="1"/>
  </r>
  <r>
    <s v="FM0077"/>
    <d v="2026-03-24T00:00:00"/>
    <x v="7"/>
    <x v="1"/>
    <n v="4"/>
    <n v="500"/>
    <n v="2000"/>
    <s v="POS"/>
    <s v="New"/>
    <x v="1"/>
    <x v="5"/>
  </r>
  <r>
    <s v="FM0078"/>
    <d v="2026-05-02T00:00:00"/>
    <x v="6"/>
    <x v="1"/>
    <n v="6"/>
    <n v="1000"/>
    <n v="6000"/>
    <s v="Card"/>
    <s v="Regular"/>
    <x v="3"/>
    <x v="2"/>
  </r>
  <r>
    <s v="FM0079"/>
    <d v="2026-03-27T00:00:00"/>
    <x v="6"/>
    <x v="1"/>
    <n v="1"/>
    <n v="1000"/>
    <n v="1000"/>
    <s v="Card"/>
    <s v="New"/>
    <x v="1"/>
    <x v="5"/>
  </r>
  <r>
    <s v="FM0080"/>
    <d v="2026-02-07T00:00:00"/>
    <x v="12"/>
    <x v="5"/>
    <n v="1"/>
    <n v="2800"/>
    <n v="2800"/>
    <s v="Cash"/>
    <s v="Regular"/>
    <x v="4"/>
    <x v="3"/>
  </r>
  <r>
    <s v="FM0081"/>
    <d v="2026-01-19T00:00:00"/>
    <x v="7"/>
    <x v="1"/>
    <n v="4"/>
    <n v="500"/>
    <n v="2000"/>
    <s v="POS"/>
    <s v="Regular"/>
    <x v="4"/>
    <x v="1"/>
  </r>
  <r>
    <s v="FM0082"/>
    <d v="2026-04-13T00:00:00"/>
    <x v="9"/>
    <x v="6"/>
    <n v="2"/>
    <n v="1800"/>
    <n v="3600"/>
    <s v="Card"/>
    <s v="Regular"/>
    <x v="2"/>
    <x v="4"/>
  </r>
  <r>
    <s v="FM0083"/>
    <d v="2026-02-26T00:00:00"/>
    <x v="10"/>
    <x v="6"/>
    <n v="2"/>
    <n v="1200"/>
    <n v="2400"/>
    <s v="POS"/>
    <s v="Regular"/>
    <x v="1"/>
    <x v="3"/>
  </r>
  <r>
    <s v="FM0084"/>
    <d v="2026-04-27T00:00:00"/>
    <x v="5"/>
    <x v="3"/>
    <n v="2"/>
    <n v="3200"/>
    <n v="6400"/>
    <s v="POS"/>
    <s v="New"/>
    <x v="4"/>
    <x v="4"/>
  </r>
  <r>
    <s v="FM0085"/>
    <d v="2026-05-10T00:00:00"/>
    <x v="7"/>
    <x v="1"/>
    <n v="4"/>
    <n v="500"/>
    <n v="2000"/>
    <s v="POS"/>
    <s v="Regular"/>
    <x v="4"/>
    <x v="2"/>
  </r>
  <r>
    <s v="FM0086"/>
    <d v="2026-03-08T00:00:00"/>
    <x v="9"/>
    <x v="6"/>
    <n v="2"/>
    <n v="1800"/>
    <n v="3600"/>
    <s v="Transfer"/>
    <s v="New"/>
    <x v="1"/>
    <x v="5"/>
  </r>
  <r>
    <s v="FM0087"/>
    <d v="2026-04-23T00:00:00"/>
    <x v="8"/>
    <x v="5"/>
    <n v="1"/>
    <n v="4200"/>
    <n v="4200"/>
    <s v="Transfer"/>
    <s v="Regular"/>
    <x v="3"/>
    <x v="4"/>
  </r>
  <r>
    <s v="FM0088"/>
    <d v="2026-03-23T00:00:00"/>
    <x v="11"/>
    <x v="5"/>
    <n v="5"/>
    <n v="1500"/>
    <n v="7500"/>
    <s v="Cash"/>
    <s v="Regular"/>
    <x v="1"/>
    <x v="5"/>
  </r>
  <r>
    <s v="FM0089"/>
    <d v="2026-04-15T00:00:00"/>
    <x v="10"/>
    <x v="6"/>
    <n v="3"/>
    <n v="1200"/>
    <n v="3600"/>
    <s v="POS"/>
    <s v="New"/>
    <x v="2"/>
    <x v="4"/>
  </r>
  <r>
    <s v="FM0090"/>
    <d v="2026-04-18T00:00:00"/>
    <x v="12"/>
    <x v="5"/>
    <n v="4"/>
    <n v="2800"/>
    <n v="11200"/>
    <s v="Cash"/>
    <s v="New"/>
    <x v="4"/>
    <x v="4"/>
  </r>
  <r>
    <s v="FM0091"/>
    <d v="2026-04-01T00:00:00"/>
    <x v="3"/>
    <x v="3"/>
    <n v="3"/>
    <n v="8500"/>
    <n v="25500"/>
    <s v="POS"/>
    <s v="New"/>
    <x v="1"/>
    <x v="4"/>
  </r>
  <r>
    <s v="FM0092"/>
    <d v="2026-02-26T00:00:00"/>
    <x v="9"/>
    <x v="6"/>
    <n v="3"/>
    <n v="1800"/>
    <n v="5400"/>
    <s v="POS"/>
    <s v="New"/>
    <x v="2"/>
    <x v="3"/>
  </r>
  <r>
    <s v="FM0093"/>
    <d v="2026-03-28T00:00:00"/>
    <x v="10"/>
    <x v="6"/>
    <n v="6"/>
    <n v="1200"/>
    <n v="7200"/>
    <s v="POS"/>
    <s v="Regular"/>
    <x v="4"/>
    <x v="5"/>
  </r>
  <r>
    <s v="FM0094"/>
    <d v="2026-05-17T00:00:00"/>
    <x v="2"/>
    <x v="2"/>
    <n v="1"/>
    <n v="1800"/>
    <n v="1800"/>
    <s v="POS"/>
    <s v="Regular"/>
    <x v="2"/>
    <x v="2"/>
  </r>
  <r>
    <s v="FM0095"/>
    <d v="2026-04-20T00:00:00"/>
    <x v="1"/>
    <x v="1"/>
    <n v="2"/>
    <n v="4500"/>
    <n v="9000"/>
    <s v="POS"/>
    <s v="Regular"/>
    <x v="2"/>
    <x v="4"/>
  </r>
  <r>
    <s v="FM0096"/>
    <d v="2026-04-08T00:00:00"/>
    <x v="8"/>
    <x v="5"/>
    <n v="3"/>
    <n v="4200"/>
    <n v="12600"/>
    <s v="Card"/>
    <s v="New"/>
    <x v="3"/>
    <x v="4"/>
  </r>
  <r>
    <s v="FM0097"/>
    <d v="2026-04-08T00:00:00"/>
    <x v="11"/>
    <x v="5"/>
    <n v="3"/>
    <n v="1500"/>
    <n v="4500"/>
    <s v="POS"/>
    <s v="New"/>
    <x v="2"/>
    <x v="4"/>
  </r>
  <r>
    <s v="FM0098"/>
    <d v="2026-01-05T00:00:00"/>
    <x v="9"/>
    <x v="6"/>
    <n v="6"/>
    <n v="1800"/>
    <n v="10800"/>
    <s v="Cash"/>
    <s v="New"/>
    <x v="1"/>
    <x v="1"/>
  </r>
  <r>
    <s v="FM0099"/>
    <d v="2026-01-18T00:00:00"/>
    <x v="1"/>
    <x v="1"/>
    <n v="6"/>
    <n v="4500"/>
    <n v="27000"/>
    <s v="Cash"/>
    <s v="Regular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ivotTable14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R9:T26" firstHeaderRow="1" firstDataRow="1" firstDataCol="0"/>
  <pivotFields count="11"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2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G4:I18" firstHeaderRow="1" firstDataRow="2" firstDataCol="1"/>
  <pivotFields count="11">
    <pivotField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umFmtId="22" showAll="0">
      <items count="72">
        <item x="58"/>
        <item x="70"/>
        <item x="55"/>
        <item x="27"/>
        <item x="38"/>
        <item x="28"/>
        <item x="8"/>
        <item x="1"/>
        <item x="0"/>
        <item x="23"/>
        <item x="19"/>
        <item x="6"/>
        <item x="25"/>
        <item x="61"/>
        <item x="48"/>
        <item x="17"/>
        <item x="3"/>
        <item x="21"/>
        <item x="31"/>
        <item x="7"/>
        <item x="49"/>
        <item x="13"/>
        <item x="4"/>
        <item x="16"/>
        <item x="12"/>
        <item x="35"/>
        <item x="65"/>
        <item x="10"/>
        <item x="52"/>
        <item x="57"/>
        <item x="40"/>
        <item x="39"/>
        <item x="66"/>
        <item x="59"/>
        <item x="29"/>
        <item x="46"/>
        <item x="33"/>
        <item x="45"/>
        <item x="42"/>
        <item x="68"/>
        <item x="5"/>
        <item x="9"/>
        <item x="22"/>
        <item x="18"/>
        <item x="62"/>
        <item x="50"/>
        <item x="32"/>
        <item x="67"/>
        <item x="26"/>
        <item x="47"/>
        <item x="56"/>
        <item x="20"/>
        <item x="43"/>
        <item x="34"/>
        <item x="63"/>
        <item x="14"/>
        <item x="11"/>
        <item x="51"/>
        <item x="60"/>
        <item x="36"/>
        <item x="64"/>
        <item x="69"/>
        <item x="53"/>
        <item x="30"/>
        <item x="2"/>
        <item x="44"/>
        <item x="15"/>
        <item x="41"/>
        <item x="24"/>
        <item x="54"/>
        <item x="37"/>
        <item t="default"/>
      </items>
    </pivotField>
    <pivotField axis="axisRow" showAll="0">
      <items count="13">
        <item x="9"/>
        <item x="5"/>
        <item x="0"/>
        <item x="8"/>
        <item x="6"/>
        <item x="2"/>
        <item x="11"/>
        <item x="7"/>
        <item x="1"/>
        <item x="4"/>
        <item x="3"/>
        <item x="10"/>
        <item t="default"/>
      </items>
    </pivotField>
    <pivotField showAll="0">
      <items count="7">
        <item x="0"/>
        <item x="3"/>
        <item x="4"/>
        <item x="1"/>
        <item x="2"/>
        <item x="5"/>
        <item t="default"/>
      </items>
    </pivotField>
    <pivotField dataField="1" showAll="0"/>
    <pivotField showAll="0"/>
    <pivotField showAll="0"/>
    <pivotField showAll="0"/>
    <pivotField showAll="0"/>
    <pivotField dataField="1" showAll="0">
      <items count="5">
        <item x="1"/>
        <item x="3"/>
        <item x="0"/>
        <item x="2"/>
        <item t="default"/>
      </items>
    </pivotField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1" fld="4" baseField="0" baseItem="0"/>
    <dataField name="Count of Ibadan" fld="9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0" cacheId="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A15:B22" firstHeaderRow="1" firstDataRow="1" firstDataCol="1"/>
  <pivotFields count="11">
    <pivotField showAll="0"/>
    <pivotField showAll="0"/>
    <pivotField showAll="0"/>
    <pivotField axis="axisRow" showAll="0">
      <items count="8">
        <item x="2"/>
        <item x="1"/>
        <item h="1" x="0"/>
        <item x="5"/>
        <item x="3"/>
        <item x="4"/>
        <item x="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Column7" fld="6" subtotal="count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20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E2:F16" firstHeaderRow="1" firstDataRow="1" firstDataCol="1"/>
  <pivotFields count="2">
    <pivotField axis="axisRow" showAll="0">
      <items count="14">
        <item x="0"/>
        <item x="1"/>
        <item x="2"/>
        <item x="3"/>
        <item x="4"/>
        <item x="12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um of Column7" fld="1" baseField="0" baseItem="0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19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N33:O38" firstHeaderRow="1" firstDataRow="1" firstDataCol="1"/>
  <pivotFields count="2">
    <pivotField axis="axisRow" showAll="0">
      <items count="6">
        <item h="1" x="4"/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um of Column7" fld="1" baseField="0" baseItem="0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15" cacheId="2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Y7:AA24" firstHeaderRow="1" firstDataRow="1" firstDataCol="0"/>
  <pivotFields count="2">
    <pivotField showAll="0"/>
    <pivotField showAll="0"/>
  </pivot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11" cacheId="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N2:P19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ivotTable13" cacheId="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N21:O26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6">
        <item h="1" x="0"/>
        <item x="1"/>
        <item x="4"/>
        <item x="2"/>
        <item x="3"/>
        <item t="default"/>
      </items>
    </pivotField>
    <pivotField showAll="0"/>
  </pivotFields>
  <rowFields count="1">
    <field x="9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Column7" fld="6" baseField="0" baseItem="0"/>
  </dataField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PivotTable23" cacheId="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98:O105" firstHeaderRow="1" firstDataRow="2" firstDataCol="1"/>
  <pivotFields count="11">
    <pivotField showAll="0"/>
    <pivotField showAll="0"/>
    <pivotField axis="axisCol" showAll="0">
      <items count="14">
        <item x="10"/>
        <item x="7"/>
        <item x="2"/>
        <item x="1"/>
        <item x="8"/>
        <item x="4"/>
        <item x="12"/>
        <item x="9"/>
        <item x="0"/>
        <item x="3"/>
        <item x="6"/>
        <item x="5"/>
        <item x="11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Row" showAll="0">
      <items count="6">
        <item x="0"/>
        <item x="1"/>
        <item x="4"/>
        <item x="2"/>
        <item x="3"/>
        <item t="default"/>
      </items>
    </pivotField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dataFields count="1">
    <dataField name="Count of Column5" fld="4" subtotal="count" baseField="0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0.xml><?xml version="1.0" encoding="utf-8"?>
<pivotTableDefinition xmlns="http://schemas.openxmlformats.org/spreadsheetml/2006/main" name="PivotTable21" cacheId="4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E18:F31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um of Column7" fld="1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1.xml><?xml version="1.0" encoding="utf-8"?>
<pivotTableDefinition xmlns="http://schemas.openxmlformats.org/spreadsheetml/2006/main" name="PivotTable9" cacheId="7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A2:B8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7">
        <item x="1"/>
        <item x="3"/>
        <item x="5"/>
        <item x="4"/>
        <item x="2"/>
        <item h="1" x="0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olumn7" fld="6" subtotal="count" baseField="0" baseItem="0"/>
  </dataFields>
  <pivotTableStyleInfo name="PivotStyleLight16" showRowHeaders="1" showColHeaders="1" showRowStripes="0" showColStripes="0" showLastColumn="1"/>
</pivotTableDefinition>
</file>

<file path=xl/pivotTables/pivotTable1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B16" firstHeaderRow="1" firstDataRow="1" firstDataCol="1"/>
  <pivotFields count="11">
    <pivotField showAll="0"/>
    <pivotField showAll="0"/>
    <pivotField axis="axisRow" showAll="0" sortType="ascending">
      <items count="15">
        <item x="10"/>
        <item x="7"/>
        <item x="2"/>
        <item x="1"/>
        <item x="8"/>
        <item x="4"/>
        <item x="12"/>
        <item x="9"/>
        <item h="1" x="0"/>
        <item x="3"/>
        <item x="6"/>
        <item x="5"/>
        <item x="11"/>
        <item h="1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>
      <items count="44">
        <item x="38"/>
        <item x="26"/>
        <item x="37"/>
        <item x="28"/>
        <item x="23"/>
        <item x="16"/>
        <item x="22"/>
        <item x="9"/>
        <item x="11"/>
        <item x="8"/>
        <item x="30"/>
        <item x="1"/>
        <item x="27"/>
        <item x="20"/>
        <item x="6"/>
        <item x="25"/>
        <item x="19"/>
        <item x="33"/>
        <item x="13"/>
        <item x="39"/>
        <item x="35"/>
        <item x="10"/>
        <item x="14"/>
        <item x="32"/>
        <item x="7"/>
        <item x="2"/>
        <item x="40"/>
        <item x="41"/>
        <item x="36"/>
        <item x="4"/>
        <item x="15"/>
        <item x="3"/>
        <item x="24"/>
        <item x="17"/>
        <item x="18"/>
        <item x="34"/>
        <item x="29"/>
        <item x="21"/>
        <item x="12"/>
        <item x="31"/>
        <item x="5"/>
        <item x="0"/>
        <item x="42"/>
        <item t="default"/>
      </items>
    </pivotField>
    <pivotField showAll="0"/>
    <pivotField showAll="0"/>
    <pivotField showAll="0"/>
    <pivotField showAll="0"/>
  </pivotFields>
  <rowFields count="1">
    <field x="2"/>
  </rowFields>
  <rowItems count="13">
    <i>
      <x v="1"/>
    </i>
    <i>
      <x v="7"/>
    </i>
    <i>
      <x v="6"/>
    </i>
    <i>
      <x v="12"/>
    </i>
    <i>
      <x v="10"/>
    </i>
    <i>
      <x/>
    </i>
    <i>
      <x v="2"/>
    </i>
    <i>
      <x v="11"/>
    </i>
    <i>
      <x v="5"/>
    </i>
    <i>
      <x v="4"/>
    </i>
    <i>
      <x v="3"/>
    </i>
    <i>
      <x v="9"/>
    </i>
    <i t="grand">
      <x/>
    </i>
  </rowItems>
  <colItems count="1">
    <i/>
  </colItems>
  <dataFields count="1">
    <dataField name="Sum of Column7" fld="6" baseField="0" baseItem="0"/>
  </dataFields>
  <pivotTableStyleInfo name="PivotStyleLight16" showRowHeaders="1" showColHeaders="1" showRowStripes="0" showColStripes="0" showLastColumn="1"/>
</pivotTableDefinition>
</file>

<file path=xl/pivotTables/pivotTable1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23:B30" firstHeaderRow="1" firstDataRow="1" firstDataCol="1"/>
  <pivotFields count="11">
    <pivotField showAll="0"/>
    <pivotField showAll="0"/>
    <pivotField showAll="0"/>
    <pivotField axis="axisRow" showAll="0" sortType="ascending">
      <items count="9">
        <item x="2"/>
        <item x="1"/>
        <item h="1" x="0"/>
        <item x="5"/>
        <item x="3"/>
        <item x="4"/>
        <item x="6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44">
        <item x="38"/>
        <item x="26"/>
        <item x="37"/>
        <item x="28"/>
        <item x="23"/>
        <item x="16"/>
        <item x="22"/>
        <item x="9"/>
        <item x="11"/>
        <item x="8"/>
        <item x="30"/>
        <item x="1"/>
        <item x="27"/>
        <item x="20"/>
        <item x="6"/>
        <item x="25"/>
        <item x="19"/>
        <item x="33"/>
        <item x="13"/>
        <item x="39"/>
        <item x="35"/>
        <item x="10"/>
        <item x="14"/>
        <item x="32"/>
        <item x="7"/>
        <item x="2"/>
        <item x="40"/>
        <item x="41"/>
        <item x="36"/>
        <item x="4"/>
        <item x="15"/>
        <item x="3"/>
        <item x="24"/>
        <item x="17"/>
        <item x="18"/>
        <item x="34"/>
        <item x="29"/>
        <item x="21"/>
        <item x="12"/>
        <item x="31"/>
        <item x="5"/>
        <item x="0"/>
        <item x="42"/>
        <item t="default"/>
      </items>
    </pivotField>
    <pivotField showAll="0"/>
    <pivotField showAll="0"/>
    <pivotField showAll="0"/>
    <pivotField showAll="0"/>
  </pivotFields>
  <rowFields count="1">
    <field x="3"/>
  </rowFields>
  <rowItems count="7">
    <i>
      <x/>
    </i>
    <i>
      <x v="6"/>
    </i>
    <i>
      <x v="5"/>
    </i>
    <i>
      <x v="3"/>
    </i>
    <i>
      <x v="1"/>
    </i>
    <i>
      <x v="4"/>
    </i>
    <i t="grand">
      <x/>
    </i>
  </rowItems>
  <colItems count="1">
    <i/>
  </colItems>
  <dataFields count="1">
    <dataField name="Sum of Column7" fld="6" baseField="0" baseItem="0"/>
  </dataFields>
  <pivotTableStyleInfo name="PivotStyleLight16" showRowHeaders="1" showColHeaders="1" showRowStripes="0" showColStripes="0" showLastColumn="1"/>
</pivotTableDefinition>
</file>

<file path=xl/pivotTables/pivotTable1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E3:F8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dataField="1" showAll="0">
      <items count="44">
        <item x="38"/>
        <item x="26"/>
        <item x="37"/>
        <item x="28"/>
        <item x="23"/>
        <item x="16"/>
        <item x="22"/>
        <item x="9"/>
        <item x="11"/>
        <item x="8"/>
        <item x="30"/>
        <item x="1"/>
        <item x="27"/>
        <item x="20"/>
        <item x="6"/>
        <item x="25"/>
        <item x="19"/>
        <item x="33"/>
        <item x="13"/>
        <item x="39"/>
        <item x="35"/>
        <item x="10"/>
        <item x="14"/>
        <item x="32"/>
        <item x="7"/>
        <item x="2"/>
        <item x="40"/>
        <item x="41"/>
        <item x="36"/>
        <item x="4"/>
        <item x="15"/>
        <item x="3"/>
        <item x="24"/>
        <item x="17"/>
        <item x="18"/>
        <item x="34"/>
        <item x="29"/>
        <item x="21"/>
        <item x="12"/>
        <item x="31"/>
        <item x="5"/>
        <item x="0"/>
        <item x="42"/>
        <item t="default"/>
      </items>
    </pivotField>
    <pivotField showAll="0"/>
    <pivotField showAll="0"/>
    <pivotField axis="axisRow" showAll="0" sortType="ascending">
      <items count="7">
        <item h="1" x="0"/>
        <item x="1"/>
        <item x="4"/>
        <item x="2"/>
        <item x="3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9"/>
  </rowFields>
  <rowItems count="5">
    <i>
      <x v="2"/>
    </i>
    <i>
      <x v="4"/>
    </i>
    <i>
      <x v="1"/>
    </i>
    <i>
      <x v="3"/>
    </i>
    <i t="grand">
      <x/>
    </i>
  </rowItems>
  <colItems count="1">
    <i/>
  </colItems>
  <dataFields count="1">
    <dataField name="Sum of Column7" fld="6" baseField="0" baseItem="0"/>
  </dataFields>
  <pivotTableStyleInfo name="PivotStyleLight16" showRowHeaders="1" showColHeaders="1" showRowStripes="0" showColStripes="0" showLastColumn="1"/>
</pivotTableDefinition>
</file>

<file path=xl/pivotTables/pivotTable1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3" minRefreshableVersion="3" showCalcMbrs="0" showDrill="0" useAutoFormatting="1" itemPrintTitles="1" createdVersion="3" indent="0" outline="1" outlineData="1" multipleFieldFilters="0">
  <location ref="E14:F17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dataField="1" showAll="0">
      <items count="44">
        <item x="38"/>
        <item x="26"/>
        <item x="37"/>
        <item x="28"/>
        <item x="23"/>
        <item x="16"/>
        <item x="22"/>
        <item x="9"/>
        <item x="11"/>
        <item x="8"/>
        <item x="30"/>
        <item x="1"/>
        <item x="27"/>
        <item x="20"/>
        <item x="6"/>
        <item x="25"/>
        <item x="19"/>
        <item x="33"/>
        <item x="13"/>
        <item x="39"/>
        <item x="35"/>
        <item x="10"/>
        <item x="14"/>
        <item x="32"/>
        <item x="7"/>
        <item x="2"/>
        <item x="40"/>
        <item x="41"/>
        <item x="36"/>
        <item x="4"/>
        <item x="15"/>
        <item x="3"/>
        <item x="24"/>
        <item x="17"/>
        <item x="18"/>
        <item x="34"/>
        <item x="29"/>
        <item x="21"/>
        <item x="12"/>
        <item x="31"/>
        <item x="5"/>
        <item x="0"/>
        <item x="42"/>
        <item t="default"/>
      </items>
    </pivotField>
    <pivotField showAll="0"/>
    <pivotField axis="axisRow" showAll="0">
      <items count="5">
        <item h="1" x="0"/>
        <item x="2"/>
        <item x="1"/>
        <item h="1" x="3"/>
        <item t="default"/>
      </items>
    </pivotField>
    <pivotField showAll="0"/>
    <pivotField showAll="0"/>
  </pivotFields>
  <rowFields count="1">
    <field x="8"/>
  </rowFields>
  <rowItems count="3">
    <i>
      <x v="1"/>
    </i>
    <i>
      <x v="2"/>
    </i>
    <i t="grand">
      <x/>
    </i>
  </rowItems>
  <colItems count="1">
    <i/>
  </colItems>
  <dataFields count="1">
    <dataField name="Sum of Column7" fld="6" baseField="0" baseItem="0"/>
  </dataFields>
  <pivotTableStyleInfo name="PivotStyleLight16" showRowHeaders="1" showColHeaders="1" showRowStripes="0" showColStripes="0" showLastColumn="1"/>
</pivotTableDefinition>
</file>

<file path=xl/pivotTables/pivotTable16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E23:F29" firstHeaderRow="1" firstDataRow="1" firstDataCol="1"/>
  <pivotFields count="11">
    <pivotField showAll="0"/>
    <pivotField showAll="0"/>
    <pivotField showAll="0"/>
    <pivotField showAll="0"/>
    <pivotField showAll="0">
      <items count="9">
        <item x="1"/>
        <item x="3"/>
        <item x="5"/>
        <item x="4"/>
        <item x="6"/>
        <item x="2"/>
        <item x="0"/>
        <item x="7"/>
        <item t="default"/>
      </items>
    </pivotField>
    <pivotField showAll="0"/>
    <pivotField dataField="1" showAll="0">
      <items count="44">
        <item x="38"/>
        <item x="26"/>
        <item x="37"/>
        <item x="28"/>
        <item x="23"/>
        <item x="16"/>
        <item x="22"/>
        <item x="9"/>
        <item x="11"/>
        <item x="8"/>
        <item x="30"/>
        <item x="1"/>
        <item x="27"/>
        <item x="20"/>
        <item x="6"/>
        <item x="25"/>
        <item x="19"/>
        <item x="33"/>
        <item x="13"/>
        <item x="39"/>
        <item x="35"/>
        <item x="10"/>
        <item x="14"/>
        <item x="32"/>
        <item x="7"/>
        <item x="2"/>
        <item x="40"/>
        <item x="41"/>
        <item x="36"/>
        <item x="4"/>
        <item x="15"/>
        <item x="3"/>
        <item x="24"/>
        <item x="17"/>
        <item x="18"/>
        <item x="34"/>
        <item x="29"/>
        <item x="21"/>
        <item x="12"/>
        <item x="31"/>
        <item x="5"/>
        <item x="0"/>
        <item x="42"/>
        <item t="default"/>
      </items>
    </pivotField>
    <pivotField showAll="0"/>
    <pivotField showAll="0"/>
    <pivotField showAll="0"/>
    <pivotField axis="axisRow" showAll="0" sortType="ascending">
      <items count="8">
        <item x="1"/>
        <item x="3"/>
        <item x="5"/>
        <item x="4"/>
        <item x="2"/>
        <item h="1" x="0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6">
    <i>
      <x v="2"/>
    </i>
    <i>
      <x v="4"/>
    </i>
    <i>
      <x v="1"/>
    </i>
    <i>
      <x v="3"/>
    </i>
    <i>
      <x/>
    </i>
    <i t="grand">
      <x/>
    </i>
  </rowItems>
  <colItems count="1">
    <i/>
  </colItems>
  <dataFields count="1">
    <dataField name="Sum of Column7" fld="6" baseField="0" baseItem="0"/>
  </dataFields>
  <pivotTableStyleInfo name="PivotStyleLight16" showRowHeaders="1" showColHeaders="1" showRowStripes="0" showColStripes="0" showLastColumn="1"/>
</pivotTableDefinition>
</file>

<file path=xl/pivotTables/pivotTable17.xml><?xml version="1.0" encoding="utf-8"?>
<pivotTableDefinition xmlns="http://schemas.openxmlformats.org/spreadsheetml/2006/main" name="PivotTable10" cacheId="6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F5:G12" firstHeaderRow="1" firstDataRow="1" firstDataCol="1"/>
  <pivotFields count="2">
    <pivotField axis="axisRow" showAll="0">
      <items count="7">
        <item x="0"/>
        <item x="4"/>
        <item x="3"/>
        <item x="5"/>
        <item x="2"/>
        <item x="1"/>
        <item t="default"/>
      </items>
    </pivotField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um of Column7" fld="1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18.xml><?xml version="1.0" encoding="utf-8"?>
<pivotTableDefinition xmlns="http://schemas.openxmlformats.org/spreadsheetml/2006/main" name="PivotTable9" cacheId="5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A1:B7" firstHeaderRow="1" firstDataRow="1" firstDataCol="1"/>
  <pivotFields count="2">
    <pivotField axis="axisRow" showAll="0">
      <items count="6">
        <item x="4"/>
        <item x="2"/>
        <item x="0"/>
        <item x="3"/>
        <item x="1"/>
        <item t="default"/>
      </items>
    </pivotField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um of Column7" fld="1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K102" totalsRowShown="0" headerRowDxfId="7">
  <autoFilter ref="A1:K102">
    <filterColumn colId="10"/>
  </autoFilter>
  <tableColumns count="11">
    <tableColumn id="1" name="Column1"/>
    <tableColumn id="2" name="Column2" dataDxfId="6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E36" totalsRowShown="0">
  <autoFilter ref="A1:E36"/>
  <tableColumns count="5">
    <tableColumn id="1" name="Column1" dataDxfId="5"/>
    <tableColumn id="2" name="Column2" dataDxfId="4"/>
    <tableColumn id="3" name="Column3" dataDxfId="3"/>
    <tableColumn id="4" name="Column4" dataDxfId="2"/>
    <tableColumn id="5" name="Column5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1:E21" totalsRowShown="0" headerRowDxfId="1">
  <autoFilter ref="A1:E21"/>
  <tableColumns count="5">
    <tableColumn id="1" name="Monthly Revenue">
      <calculatedColumnFormula>#REF!</calculatedColumnFormula>
    </tableColumn>
    <tableColumn id="2" name="Column1" dataDxfId="0">
      <calculatedColumnFormula>COUNTIFS('Cleaned Data'!K:K,$A2)</calculatedColumnFormula>
    </tableColumn>
    <tableColumn id="3" name="Column2"/>
    <tableColumn id="4" name="Column3"/>
    <tableColumn id="5" name="Column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6" Type="http://schemas.openxmlformats.org/officeDocument/2006/relationships/printerSettings" Target="../printerSettings/printerSettings4.bin"/><Relationship Id="rId5" Type="http://schemas.openxmlformats.org/officeDocument/2006/relationships/pivotTable" Target="../pivotTables/pivotTable16.xml"/><Relationship Id="rId4" Type="http://schemas.openxmlformats.org/officeDocument/2006/relationships/pivotTable" Target="../pivotTables/pivotTable1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8.xml"/><Relationship Id="rId1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3" sqref="A3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9"/>
    <pageSetUpPr fitToPage="1"/>
  </sheetPr>
  <dimension ref="A1:K102"/>
  <sheetViews>
    <sheetView topLeftCell="A37" workbookViewId="0">
      <selection activeCell="I61" sqref="I61"/>
    </sheetView>
  </sheetViews>
  <sheetFormatPr defaultRowHeight="15"/>
  <cols>
    <col min="1" max="1" width="11" customWidth="1"/>
    <col min="2" max="2" width="13.85546875" style="9" bestFit="1" customWidth="1"/>
    <col min="3" max="3" width="17.7109375" bestFit="1" customWidth="1"/>
    <col min="4" max="6" width="11" customWidth="1"/>
    <col min="7" max="7" width="13.28515625" bestFit="1" customWidth="1"/>
    <col min="8" max="8" width="16.5703125" bestFit="1" customWidth="1"/>
    <col min="9" max="9" width="14.42578125" bestFit="1" customWidth="1"/>
    <col min="10" max="10" width="12" customWidth="1"/>
    <col min="11" max="11" width="15" bestFit="1" customWidth="1"/>
  </cols>
  <sheetData>
    <row r="1" spans="1:11">
      <c r="A1" s="1" t="s">
        <v>135</v>
      </c>
      <c r="B1" s="1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  <c r="J1" s="1" t="s">
        <v>144</v>
      </c>
      <c r="K1" s="10" t="s">
        <v>180</v>
      </c>
    </row>
    <row r="2" spans="1:11">
      <c r="A2" s="1" t="s">
        <v>195</v>
      </c>
      <c r="B2" s="1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2" t="s">
        <v>181</v>
      </c>
    </row>
    <row r="3" spans="1:11">
      <c r="A3" t="s">
        <v>9</v>
      </c>
      <c r="B3" s="12">
        <v>46051</v>
      </c>
      <c r="C3" t="s">
        <v>107</v>
      </c>
      <c r="D3" t="s">
        <v>119</v>
      </c>
      <c r="E3">
        <v>1</v>
      </c>
      <c r="F3">
        <v>4500</v>
      </c>
      <c r="G3">
        <v>4500</v>
      </c>
      <c r="H3" t="s">
        <v>125</v>
      </c>
      <c r="I3" t="s">
        <v>129</v>
      </c>
      <c r="J3" t="s">
        <v>131</v>
      </c>
      <c r="K3" s="12" t="str">
        <f>TEXT($B3,"mmmm")</f>
        <v>January</v>
      </c>
    </row>
    <row r="4" spans="1:11">
      <c r="A4" t="s">
        <v>10</v>
      </c>
      <c r="B4" s="12">
        <v>46049</v>
      </c>
      <c r="C4" t="s">
        <v>108</v>
      </c>
      <c r="D4" t="s">
        <v>120</v>
      </c>
      <c r="E4">
        <v>6</v>
      </c>
      <c r="F4">
        <v>1800</v>
      </c>
      <c r="G4">
        <v>10800</v>
      </c>
      <c r="H4" t="s">
        <v>126</v>
      </c>
      <c r="I4" t="s">
        <v>130</v>
      </c>
      <c r="J4" t="s">
        <v>132</v>
      </c>
      <c r="K4" s="12" t="str">
        <f t="shared" ref="K4:K67" si="0">TEXT($B4,"mmmm")</f>
        <v>January</v>
      </c>
    </row>
    <row r="5" spans="1:11">
      <c r="A5" t="s">
        <v>11</v>
      </c>
      <c r="B5" s="12">
        <v>46046</v>
      </c>
      <c r="C5" t="s">
        <v>109</v>
      </c>
      <c r="D5" t="s">
        <v>121</v>
      </c>
      <c r="E5">
        <v>2</v>
      </c>
      <c r="F5">
        <v>8500</v>
      </c>
      <c r="G5">
        <v>17000</v>
      </c>
      <c r="H5" t="s">
        <v>127</v>
      </c>
      <c r="I5" t="s">
        <v>129</v>
      </c>
      <c r="J5" t="s">
        <v>131</v>
      </c>
      <c r="K5" s="12" t="str">
        <f t="shared" si="0"/>
        <v>January</v>
      </c>
    </row>
    <row r="6" spans="1:11">
      <c r="A6" t="s">
        <v>12</v>
      </c>
      <c r="B6" s="12">
        <v>46162</v>
      </c>
      <c r="C6" t="s">
        <v>110</v>
      </c>
      <c r="D6" t="s">
        <v>122</v>
      </c>
      <c r="E6">
        <v>4</v>
      </c>
      <c r="F6">
        <v>3800</v>
      </c>
      <c r="G6">
        <v>15200</v>
      </c>
      <c r="H6" t="s">
        <v>127</v>
      </c>
      <c r="I6" t="s">
        <v>130</v>
      </c>
      <c r="J6" t="s">
        <v>133</v>
      </c>
      <c r="K6" s="12" t="str">
        <f t="shared" si="0"/>
        <v>May</v>
      </c>
    </row>
    <row r="7" spans="1:11">
      <c r="A7" t="s">
        <v>13</v>
      </c>
      <c r="B7" s="12">
        <v>46063</v>
      </c>
      <c r="C7" t="s">
        <v>109</v>
      </c>
      <c r="D7" t="s">
        <v>121</v>
      </c>
      <c r="E7">
        <v>6</v>
      </c>
      <c r="F7">
        <v>8500</v>
      </c>
      <c r="G7">
        <v>51000</v>
      </c>
      <c r="H7" t="s">
        <v>128</v>
      </c>
      <c r="I7" t="s">
        <v>130</v>
      </c>
      <c r="J7" t="s">
        <v>133</v>
      </c>
      <c r="K7" s="12" t="str">
        <f t="shared" si="0"/>
        <v>February</v>
      </c>
    </row>
    <row r="8" spans="1:11">
      <c r="A8" t="s">
        <v>14</v>
      </c>
      <c r="B8" s="12">
        <v>46078</v>
      </c>
      <c r="C8" t="s">
        <v>108</v>
      </c>
      <c r="D8" t="s">
        <v>120</v>
      </c>
      <c r="E8">
        <v>3</v>
      </c>
      <c r="F8">
        <v>1800</v>
      </c>
      <c r="G8">
        <v>5400</v>
      </c>
      <c r="H8" t="s">
        <v>126</v>
      </c>
      <c r="I8" t="s">
        <v>129</v>
      </c>
      <c r="J8" t="s">
        <v>134</v>
      </c>
      <c r="K8" s="12" t="str">
        <f t="shared" si="0"/>
        <v>February</v>
      </c>
    </row>
    <row r="9" spans="1:11">
      <c r="A9" t="s">
        <v>15</v>
      </c>
      <c r="B9" s="12">
        <v>46114</v>
      </c>
      <c r="C9" t="s">
        <v>111</v>
      </c>
      <c r="D9" t="s">
        <v>121</v>
      </c>
      <c r="E9">
        <v>3</v>
      </c>
      <c r="F9">
        <v>3200</v>
      </c>
      <c r="G9">
        <v>9600</v>
      </c>
      <c r="H9" t="s">
        <v>125</v>
      </c>
      <c r="I9" t="s">
        <v>129</v>
      </c>
      <c r="J9" t="s">
        <v>134</v>
      </c>
      <c r="K9" s="12" t="str">
        <f t="shared" si="0"/>
        <v>April</v>
      </c>
    </row>
    <row r="10" spans="1:11">
      <c r="A10" t="s">
        <v>16</v>
      </c>
      <c r="B10" s="12">
        <v>46054</v>
      </c>
      <c r="C10" t="s">
        <v>112</v>
      </c>
      <c r="D10" t="s">
        <v>119</v>
      </c>
      <c r="E10">
        <v>4</v>
      </c>
      <c r="F10">
        <v>1000</v>
      </c>
      <c r="G10">
        <v>4000</v>
      </c>
      <c r="H10" t="s">
        <v>126</v>
      </c>
      <c r="I10" t="s">
        <v>130</v>
      </c>
      <c r="J10" t="s">
        <v>133</v>
      </c>
      <c r="K10" s="12" t="str">
        <f t="shared" si="0"/>
        <v>February</v>
      </c>
    </row>
    <row r="11" spans="1:11">
      <c r="A11" t="s">
        <v>17</v>
      </c>
      <c r="B11" s="12">
        <v>46072</v>
      </c>
      <c r="C11" t="s">
        <v>113</v>
      </c>
      <c r="D11" t="s">
        <v>119</v>
      </c>
      <c r="E11">
        <v>6</v>
      </c>
      <c r="F11">
        <v>500</v>
      </c>
      <c r="G11">
        <v>3000</v>
      </c>
      <c r="H11" t="s">
        <v>126</v>
      </c>
      <c r="I11" t="s">
        <v>129</v>
      </c>
      <c r="J11" t="s">
        <v>131</v>
      </c>
      <c r="K11" s="12" t="str">
        <f t="shared" si="0"/>
        <v>February</v>
      </c>
    </row>
    <row r="12" spans="1:11">
      <c r="A12" t="s">
        <v>18</v>
      </c>
      <c r="B12" s="12">
        <v>46043</v>
      </c>
      <c r="C12" t="s">
        <v>114</v>
      </c>
      <c r="D12" t="s">
        <v>123</v>
      </c>
      <c r="E12">
        <v>2</v>
      </c>
      <c r="F12">
        <v>4200</v>
      </c>
      <c r="G12">
        <v>8400</v>
      </c>
      <c r="H12" t="s">
        <v>126</v>
      </c>
      <c r="I12" t="s">
        <v>130</v>
      </c>
      <c r="J12" t="s">
        <v>133</v>
      </c>
      <c r="K12" s="12" t="str">
        <f t="shared" si="0"/>
        <v>January</v>
      </c>
    </row>
    <row r="13" spans="1:11">
      <c r="A13" t="s">
        <v>19</v>
      </c>
      <c r="B13" s="12">
        <v>46116</v>
      </c>
      <c r="C13" t="s">
        <v>115</v>
      </c>
      <c r="D13" t="s">
        <v>124</v>
      </c>
      <c r="E13">
        <v>2</v>
      </c>
      <c r="F13">
        <v>1800</v>
      </c>
      <c r="G13">
        <v>3600</v>
      </c>
      <c r="H13" t="s">
        <v>125</v>
      </c>
      <c r="I13" t="s">
        <v>130</v>
      </c>
      <c r="J13" t="s">
        <v>131</v>
      </c>
      <c r="K13" s="12" t="str">
        <f t="shared" si="0"/>
        <v>April</v>
      </c>
    </row>
    <row r="14" spans="1:11">
      <c r="A14" t="s">
        <v>20</v>
      </c>
      <c r="B14" s="12">
        <v>46091</v>
      </c>
      <c r="C14" t="s">
        <v>107</v>
      </c>
      <c r="D14" t="s">
        <v>119</v>
      </c>
      <c r="E14">
        <v>6</v>
      </c>
      <c r="F14">
        <v>4500</v>
      </c>
      <c r="G14">
        <v>27000</v>
      </c>
      <c r="H14" t="s">
        <v>126</v>
      </c>
      <c r="I14" t="s">
        <v>129</v>
      </c>
      <c r="J14" t="s">
        <v>131</v>
      </c>
      <c r="K14" s="12" t="str">
        <f t="shared" si="0"/>
        <v>March</v>
      </c>
    </row>
    <row r="15" spans="1:11">
      <c r="A15" t="s">
        <v>21</v>
      </c>
      <c r="B15" s="12">
        <v>46141</v>
      </c>
      <c r="C15" t="s">
        <v>108</v>
      </c>
      <c r="D15" t="s">
        <v>120</v>
      </c>
      <c r="E15">
        <v>4</v>
      </c>
      <c r="F15">
        <v>1800</v>
      </c>
      <c r="G15">
        <v>7200</v>
      </c>
      <c r="H15" t="s">
        <v>125</v>
      </c>
      <c r="I15" t="s">
        <v>129</v>
      </c>
      <c r="J15" t="s">
        <v>133</v>
      </c>
      <c r="K15" s="12" t="str">
        <f t="shared" si="0"/>
        <v>April</v>
      </c>
    </row>
    <row r="16" spans="1:11">
      <c r="A16" t="s">
        <v>22</v>
      </c>
      <c r="B16" s="12">
        <v>46081</v>
      </c>
      <c r="C16" t="s">
        <v>109</v>
      </c>
      <c r="D16" t="s">
        <v>121</v>
      </c>
      <c r="E16">
        <v>1</v>
      </c>
      <c r="F16">
        <v>8500</v>
      </c>
      <c r="G16">
        <v>8500</v>
      </c>
      <c r="H16" t="s">
        <v>125</v>
      </c>
      <c r="I16" t="s">
        <v>130</v>
      </c>
      <c r="J16" t="s">
        <v>133</v>
      </c>
      <c r="K16" s="12" t="str">
        <f t="shared" si="0"/>
        <v>February</v>
      </c>
    </row>
    <row r="17" spans="1:11">
      <c r="A17" t="s">
        <v>23</v>
      </c>
      <c r="B17" s="12">
        <v>46077</v>
      </c>
      <c r="C17" t="s">
        <v>111</v>
      </c>
      <c r="D17" t="s">
        <v>121</v>
      </c>
      <c r="E17">
        <v>5</v>
      </c>
      <c r="F17">
        <v>3200</v>
      </c>
      <c r="G17">
        <v>16000</v>
      </c>
      <c r="H17" t="s">
        <v>125</v>
      </c>
      <c r="I17" t="s">
        <v>129</v>
      </c>
      <c r="J17" t="s">
        <v>134</v>
      </c>
      <c r="K17" s="12" t="str">
        <f t="shared" si="0"/>
        <v>February</v>
      </c>
    </row>
    <row r="18" spans="1:11">
      <c r="A18" t="s">
        <v>24</v>
      </c>
      <c r="B18" s="12">
        <v>46140</v>
      </c>
      <c r="C18" t="s">
        <v>116</v>
      </c>
      <c r="D18" t="s">
        <v>124</v>
      </c>
      <c r="E18">
        <v>2</v>
      </c>
      <c r="F18">
        <v>1200</v>
      </c>
      <c r="G18">
        <v>2400</v>
      </c>
      <c r="H18" t="s">
        <v>125</v>
      </c>
      <c r="I18" t="s">
        <v>129</v>
      </c>
      <c r="J18" t="s">
        <v>131</v>
      </c>
      <c r="K18" s="12" t="str">
        <f t="shared" si="0"/>
        <v>April</v>
      </c>
    </row>
    <row r="19" spans="1:11">
      <c r="A19" t="s">
        <v>25</v>
      </c>
      <c r="B19" s="12">
        <v>46166</v>
      </c>
      <c r="C19" t="s">
        <v>110</v>
      </c>
      <c r="D19" t="s">
        <v>122</v>
      </c>
      <c r="E19">
        <v>5</v>
      </c>
      <c r="F19">
        <v>3800</v>
      </c>
      <c r="G19">
        <v>19000</v>
      </c>
      <c r="H19" t="s">
        <v>125</v>
      </c>
      <c r="I19" t="s">
        <v>130</v>
      </c>
      <c r="J19" t="s">
        <v>134</v>
      </c>
      <c r="K19" s="12" t="str">
        <f t="shared" si="0"/>
        <v>May</v>
      </c>
    </row>
    <row r="20" spans="1:11">
      <c r="A20" t="s">
        <v>26</v>
      </c>
      <c r="B20" s="12">
        <v>46079</v>
      </c>
      <c r="C20" t="s">
        <v>117</v>
      </c>
      <c r="D20" t="s">
        <v>123</v>
      </c>
      <c r="E20">
        <v>2</v>
      </c>
      <c r="F20">
        <v>1500</v>
      </c>
      <c r="G20">
        <v>3000</v>
      </c>
      <c r="H20" t="s">
        <v>128</v>
      </c>
      <c r="I20" t="s">
        <v>129</v>
      </c>
      <c r="J20" t="s">
        <v>132</v>
      </c>
      <c r="K20" s="12" t="str">
        <f t="shared" si="0"/>
        <v>February</v>
      </c>
    </row>
    <row r="21" spans="1:11">
      <c r="A21" t="s">
        <v>27</v>
      </c>
      <c r="B21" s="12">
        <v>46062</v>
      </c>
      <c r="C21" t="s">
        <v>111</v>
      </c>
      <c r="D21" t="s">
        <v>121</v>
      </c>
      <c r="E21">
        <v>6</v>
      </c>
      <c r="F21">
        <v>3200</v>
      </c>
      <c r="G21">
        <v>19200</v>
      </c>
      <c r="H21" t="s">
        <v>127</v>
      </c>
      <c r="I21" t="s">
        <v>130</v>
      </c>
      <c r="J21" t="s">
        <v>132</v>
      </c>
      <c r="K21" s="12" t="str">
        <f t="shared" si="0"/>
        <v>February</v>
      </c>
    </row>
    <row r="22" spans="1:11">
      <c r="A22" t="s">
        <v>28</v>
      </c>
      <c r="B22" s="12">
        <v>46120</v>
      </c>
      <c r="C22" t="s">
        <v>116</v>
      </c>
      <c r="D22" t="s">
        <v>124</v>
      </c>
      <c r="E22">
        <v>5</v>
      </c>
      <c r="F22">
        <v>1200</v>
      </c>
      <c r="G22">
        <v>6000</v>
      </c>
      <c r="H22" t="s">
        <v>128</v>
      </c>
      <c r="I22" t="s">
        <v>130</v>
      </c>
      <c r="J22" t="s">
        <v>132</v>
      </c>
      <c r="K22" s="12" t="str">
        <f t="shared" si="0"/>
        <v>April</v>
      </c>
    </row>
    <row r="23" spans="1:11">
      <c r="A23" t="s">
        <v>29</v>
      </c>
      <c r="B23" s="12">
        <v>46052</v>
      </c>
      <c r="C23" t="s">
        <v>107</v>
      </c>
      <c r="D23" t="s">
        <v>119</v>
      </c>
      <c r="E23">
        <v>6</v>
      </c>
      <c r="F23">
        <v>4500</v>
      </c>
      <c r="G23">
        <v>27000</v>
      </c>
      <c r="H23" t="s">
        <v>125</v>
      </c>
      <c r="I23" t="s">
        <v>130</v>
      </c>
      <c r="J23" t="s">
        <v>132</v>
      </c>
      <c r="K23" s="12" t="str">
        <f t="shared" si="0"/>
        <v>January</v>
      </c>
    </row>
    <row r="24" spans="1:11">
      <c r="A24" t="s">
        <v>30</v>
      </c>
      <c r="B24" s="12">
        <v>46134</v>
      </c>
      <c r="C24" t="s">
        <v>114</v>
      </c>
      <c r="D24" t="s">
        <v>123</v>
      </c>
      <c r="E24">
        <v>2</v>
      </c>
      <c r="F24">
        <v>4200</v>
      </c>
      <c r="G24">
        <v>8400</v>
      </c>
      <c r="H24" t="s">
        <v>125</v>
      </c>
      <c r="I24" t="s">
        <v>129</v>
      </c>
      <c r="J24" t="s">
        <v>133</v>
      </c>
      <c r="K24" s="12" t="str">
        <f t="shared" si="0"/>
        <v>April</v>
      </c>
    </row>
    <row r="25" spans="1:11">
      <c r="A25" t="s">
        <v>31</v>
      </c>
      <c r="B25" s="12">
        <v>46068</v>
      </c>
      <c r="C25" t="s">
        <v>112</v>
      </c>
      <c r="D25" t="s">
        <v>119</v>
      </c>
      <c r="E25">
        <v>5</v>
      </c>
      <c r="F25">
        <v>1000</v>
      </c>
      <c r="G25">
        <v>5000</v>
      </c>
      <c r="H25" t="s">
        <v>126</v>
      </c>
      <c r="I25" t="s">
        <v>130</v>
      </c>
      <c r="J25" t="s">
        <v>131</v>
      </c>
      <c r="K25" s="12" t="str">
        <f t="shared" si="0"/>
        <v>February</v>
      </c>
    </row>
    <row r="26" spans="1:11">
      <c r="A26" t="s">
        <v>32</v>
      </c>
      <c r="B26" s="12">
        <v>46118</v>
      </c>
      <c r="C26" t="s">
        <v>108</v>
      </c>
      <c r="D26" t="s">
        <v>120</v>
      </c>
      <c r="E26">
        <v>2</v>
      </c>
      <c r="F26">
        <v>1800</v>
      </c>
      <c r="G26">
        <v>3600</v>
      </c>
      <c r="H26" t="s">
        <v>126</v>
      </c>
      <c r="I26" t="s">
        <v>130</v>
      </c>
      <c r="J26" t="s">
        <v>134</v>
      </c>
      <c r="K26" s="12" t="str">
        <f t="shared" si="0"/>
        <v>April</v>
      </c>
    </row>
    <row r="27" spans="1:11">
      <c r="A27" t="s">
        <v>33</v>
      </c>
      <c r="B27" s="12">
        <v>46051</v>
      </c>
      <c r="C27" t="s">
        <v>109</v>
      </c>
      <c r="D27" t="s">
        <v>121</v>
      </c>
      <c r="E27">
        <v>3</v>
      </c>
      <c r="F27">
        <v>8500</v>
      </c>
      <c r="G27">
        <v>25500</v>
      </c>
      <c r="H27" t="s">
        <v>125</v>
      </c>
      <c r="I27" t="s">
        <v>129</v>
      </c>
      <c r="J27" t="s">
        <v>132</v>
      </c>
      <c r="K27" s="12" t="str">
        <f t="shared" si="0"/>
        <v>January</v>
      </c>
    </row>
    <row r="28" spans="1:11">
      <c r="A28" t="s">
        <v>34</v>
      </c>
      <c r="B28" s="12">
        <v>46168</v>
      </c>
      <c r="C28" t="s">
        <v>118</v>
      </c>
      <c r="D28" t="s">
        <v>123</v>
      </c>
      <c r="E28">
        <v>1</v>
      </c>
      <c r="F28">
        <v>2800</v>
      </c>
      <c r="G28">
        <v>2800</v>
      </c>
      <c r="H28" t="s">
        <v>126</v>
      </c>
      <c r="I28" t="s">
        <v>130</v>
      </c>
      <c r="J28" t="s">
        <v>132</v>
      </c>
      <c r="K28" s="12" t="str">
        <f t="shared" si="0"/>
        <v>May</v>
      </c>
    </row>
    <row r="29" spans="1:11">
      <c r="A29" t="s">
        <v>35</v>
      </c>
      <c r="B29" s="12">
        <v>46055</v>
      </c>
      <c r="C29" t="s">
        <v>112</v>
      </c>
      <c r="D29" t="s">
        <v>119</v>
      </c>
      <c r="E29">
        <v>2</v>
      </c>
      <c r="F29">
        <v>1000</v>
      </c>
      <c r="G29">
        <v>2000</v>
      </c>
      <c r="H29" t="s">
        <v>128</v>
      </c>
      <c r="I29" t="s">
        <v>129</v>
      </c>
      <c r="J29" t="s">
        <v>133</v>
      </c>
      <c r="K29" s="12" t="str">
        <f t="shared" si="0"/>
        <v>February</v>
      </c>
    </row>
    <row r="30" spans="1:11">
      <c r="A30" t="s">
        <v>36</v>
      </c>
      <c r="B30" s="12">
        <v>46131</v>
      </c>
      <c r="C30" t="s">
        <v>112</v>
      </c>
      <c r="D30" t="s">
        <v>119</v>
      </c>
      <c r="E30">
        <v>2</v>
      </c>
      <c r="F30">
        <v>1000</v>
      </c>
      <c r="G30">
        <v>2000</v>
      </c>
      <c r="H30" t="s">
        <v>127</v>
      </c>
      <c r="I30" t="s">
        <v>130</v>
      </c>
      <c r="J30" t="s">
        <v>134</v>
      </c>
      <c r="K30" s="12" t="str">
        <f t="shared" si="0"/>
        <v>April</v>
      </c>
    </row>
    <row r="31" spans="1:11">
      <c r="A31" t="s">
        <v>37</v>
      </c>
      <c r="B31" s="12">
        <v>46118</v>
      </c>
      <c r="C31" t="s">
        <v>107</v>
      </c>
      <c r="D31" t="s">
        <v>119</v>
      </c>
      <c r="E31">
        <v>4</v>
      </c>
      <c r="F31">
        <v>4500</v>
      </c>
      <c r="G31">
        <v>18000</v>
      </c>
      <c r="H31" t="s">
        <v>128</v>
      </c>
      <c r="I31" t="s">
        <v>129</v>
      </c>
      <c r="J31" t="s">
        <v>131</v>
      </c>
      <c r="K31" s="12" t="str">
        <f t="shared" si="0"/>
        <v>April</v>
      </c>
    </row>
    <row r="32" spans="1:11">
      <c r="A32" t="s">
        <v>38</v>
      </c>
      <c r="B32" s="12">
        <v>46039</v>
      </c>
      <c r="C32" t="s">
        <v>118</v>
      </c>
      <c r="D32" t="s">
        <v>123</v>
      </c>
      <c r="E32">
        <v>3</v>
      </c>
      <c r="F32">
        <v>2800</v>
      </c>
      <c r="G32">
        <v>8400</v>
      </c>
      <c r="H32" t="s">
        <v>126</v>
      </c>
      <c r="I32" t="s">
        <v>129</v>
      </c>
      <c r="J32" t="s">
        <v>131</v>
      </c>
      <c r="K32" s="12" t="str">
        <f t="shared" si="0"/>
        <v>January</v>
      </c>
    </row>
    <row r="33" spans="1:11">
      <c r="A33" t="s">
        <v>39</v>
      </c>
      <c r="B33" s="12">
        <v>46041</v>
      </c>
      <c r="C33" t="s">
        <v>109</v>
      </c>
      <c r="D33" t="s">
        <v>121</v>
      </c>
      <c r="E33">
        <v>6</v>
      </c>
      <c r="F33">
        <v>8500</v>
      </c>
      <c r="G33">
        <v>51000</v>
      </c>
      <c r="H33" t="s">
        <v>126</v>
      </c>
      <c r="I33" t="s">
        <v>129</v>
      </c>
      <c r="J33" t="s">
        <v>132</v>
      </c>
      <c r="K33" s="12" t="str">
        <f t="shared" si="0"/>
        <v>January</v>
      </c>
    </row>
    <row r="34" spans="1:11">
      <c r="A34" t="s">
        <v>40</v>
      </c>
      <c r="B34" s="12">
        <v>46107</v>
      </c>
      <c r="C34" t="s">
        <v>109</v>
      </c>
      <c r="D34" t="s">
        <v>121</v>
      </c>
      <c r="E34">
        <v>1</v>
      </c>
      <c r="F34">
        <v>8500</v>
      </c>
      <c r="G34">
        <v>8500</v>
      </c>
      <c r="H34" t="s">
        <v>127</v>
      </c>
      <c r="I34" t="s">
        <v>130</v>
      </c>
      <c r="J34" t="s">
        <v>134</v>
      </c>
      <c r="K34" s="12" t="str">
        <f t="shared" si="0"/>
        <v>March</v>
      </c>
    </row>
    <row r="35" spans="1:11">
      <c r="A35" t="s">
        <v>41</v>
      </c>
      <c r="B35" s="12">
        <v>46161</v>
      </c>
      <c r="C35" t="s">
        <v>118</v>
      </c>
      <c r="D35" t="s">
        <v>123</v>
      </c>
      <c r="E35">
        <v>2</v>
      </c>
      <c r="F35">
        <v>2800</v>
      </c>
      <c r="G35">
        <v>5600</v>
      </c>
      <c r="H35" t="s">
        <v>128</v>
      </c>
      <c r="I35" t="s">
        <v>129</v>
      </c>
      <c r="J35" t="s">
        <v>134</v>
      </c>
      <c r="K35" s="12" t="str">
        <f t="shared" si="0"/>
        <v>May</v>
      </c>
    </row>
    <row r="36" spans="1:11">
      <c r="A36" t="s">
        <v>42</v>
      </c>
      <c r="B36" s="12">
        <v>46071</v>
      </c>
      <c r="C36" t="s">
        <v>116</v>
      </c>
      <c r="D36" t="s">
        <v>124</v>
      </c>
      <c r="E36">
        <v>1</v>
      </c>
      <c r="F36">
        <v>1200</v>
      </c>
      <c r="G36">
        <v>1200</v>
      </c>
      <c r="H36" t="s">
        <v>126</v>
      </c>
      <c r="I36" t="s">
        <v>130</v>
      </c>
      <c r="J36" t="s">
        <v>133</v>
      </c>
      <c r="K36" s="12" t="str">
        <f t="shared" si="0"/>
        <v>February</v>
      </c>
    </row>
    <row r="37" spans="1:11">
      <c r="A37" t="s">
        <v>43</v>
      </c>
      <c r="B37" s="12">
        <v>46128</v>
      </c>
      <c r="C37" t="s">
        <v>116</v>
      </c>
      <c r="D37" t="s">
        <v>124</v>
      </c>
      <c r="E37">
        <v>4</v>
      </c>
      <c r="F37">
        <v>1200</v>
      </c>
      <c r="G37">
        <v>4800</v>
      </c>
      <c r="H37" t="s">
        <v>126</v>
      </c>
      <c r="I37" t="s">
        <v>129</v>
      </c>
      <c r="J37" t="s">
        <v>132</v>
      </c>
      <c r="K37" s="12" t="str">
        <f t="shared" si="0"/>
        <v>April</v>
      </c>
    </row>
    <row r="38" spans="1:11">
      <c r="A38" t="s">
        <v>44</v>
      </c>
      <c r="B38" s="12">
        <v>46109</v>
      </c>
      <c r="C38" t="s">
        <v>116</v>
      </c>
      <c r="D38" t="s">
        <v>124</v>
      </c>
      <c r="E38">
        <v>1</v>
      </c>
      <c r="F38">
        <v>1200</v>
      </c>
      <c r="G38">
        <v>1200</v>
      </c>
      <c r="H38" t="s">
        <v>127</v>
      </c>
      <c r="I38" t="s">
        <v>129</v>
      </c>
      <c r="J38" t="s">
        <v>131</v>
      </c>
      <c r="K38" s="12" t="str">
        <f t="shared" si="0"/>
        <v>March</v>
      </c>
    </row>
    <row r="39" spans="1:11">
      <c r="A39" t="s">
        <v>45</v>
      </c>
      <c r="B39" s="12">
        <v>46137</v>
      </c>
      <c r="C39" t="s">
        <v>112</v>
      </c>
      <c r="D39" t="s">
        <v>119</v>
      </c>
      <c r="E39">
        <v>2</v>
      </c>
      <c r="F39">
        <v>1000</v>
      </c>
      <c r="G39">
        <v>2000</v>
      </c>
      <c r="H39" t="s">
        <v>128</v>
      </c>
      <c r="I39" t="s">
        <v>129</v>
      </c>
      <c r="J39" t="s">
        <v>133</v>
      </c>
      <c r="K39" s="12" t="str">
        <f t="shared" si="0"/>
        <v>April</v>
      </c>
    </row>
    <row r="40" spans="1:11">
      <c r="A40" t="s">
        <v>46</v>
      </c>
      <c r="B40" s="12">
        <v>46086</v>
      </c>
      <c r="C40" t="s">
        <v>115</v>
      </c>
      <c r="D40" t="s">
        <v>124</v>
      </c>
      <c r="E40">
        <v>1</v>
      </c>
      <c r="F40">
        <v>1800</v>
      </c>
      <c r="G40">
        <v>1800</v>
      </c>
      <c r="H40" t="s">
        <v>128</v>
      </c>
      <c r="I40" t="s">
        <v>129</v>
      </c>
      <c r="J40" t="s">
        <v>132</v>
      </c>
      <c r="K40" s="12" t="str">
        <f t="shared" si="0"/>
        <v>March</v>
      </c>
    </row>
    <row r="41" spans="1:11">
      <c r="A41" t="s">
        <v>47</v>
      </c>
      <c r="B41" s="12">
        <v>46161</v>
      </c>
      <c r="C41" t="s">
        <v>107</v>
      </c>
      <c r="D41" t="s">
        <v>119</v>
      </c>
      <c r="E41">
        <v>1</v>
      </c>
      <c r="F41">
        <v>4500</v>
      </c>
      <c r="G41">
        <v>4500</v>
      </c>
      <c r="H41" t="s">
        <v>126</v>
      </c>
      <c r="I41" t="s">
        <v>129</v>
      </c>
      <c r="J41" t="s">
        <v>131</v>
      </c>
      <c r="K41" s="12" t="str">
        <f t="shared" si="0"/>
        <v>May</v>
      </c>
    </row>
    <row r="42" spans="1:11">
      <c r="A42" t="s">
        <v>48</v>
      </c>
      <c r="B42" s="12">
        <v>46147</v>
      </c>
      <c r="C42" t="s">
        <v>116</v>
      </c>
      <c r="D42" t="s">
        <v>124</v>
      </c>
      <c r="E42">
        <v>4</v>
      </c>
      <c r="F42">
        <v>1200</v>
      </c>
      <c r="G42">
        <v>4800</v>
      </c>
      <c r="H42" t="s">
        <v>127</v>
      </c>
      <c r="I42" t="s">
        <v>130</v>
      </c>
      <c r="J42" t="s">
        <v>132</v>
      </c>
      <c r="K42" s="12" t="str">
        <f t="shared" si="0"/>
        <v>May</v>
      </c>
    </row>
    <row r="43" spans="1:11">
      <c r="A43" t="s">
        <v>49</v>
      </c>
      <c r="B43" s="12">
        <v>46120</v>
      </c>
      <c r="C43" t="s">
        <v>108</v>
      </c>
      <c r="D43" t="s">
        <v>120</v>
      </c>
      <c r="E43">
        <v>1</v>
      </c>
      <c r="F43">
        <v>1800</v>
      </c>
      <c r="G43">
        <v>1800</v>
      </c>
      <c r="H43" t="s">
        <v>128</v>
      </c>
      <c r="I43" t="s">
        <v>130</v>
      </c>
      <c r="J43" t="s">
        <v>134</v>
      </c>
      <c r="K43" s="12" t="str">
        <f t="shared" si="0"/>
        <v>April</v>
      </c>
    </row>
    <row r="44" spans="1:11">
      <c r="A44" t="s">
        <v>50</v>
      </c>
      <c r="B44" s="12">
        <v>46131</v>
      </c>
      <c r="C44" t="s">
        <v>114</v>
      </c>
      <c r="D44" t="s">
        <v>123</v>
      </c>
      <c r="E44">
        <v>6</v>
      </c>
      <c r="F44">
        <v>4200</v>
      </c>
      <c r="G44">
        <v>25200</v>
      </c>
      <c r="H44" t="s">
        <v>128</v>
      </c>
      <c r="I44" t="s">
        <v>129</v>
      </c>
      <c r="J44" t="s">
        <v>131</v>
      </c>
      <c r="K44" s="12" t="str">
        <f t="shared" si="0"/>
        <v>April</v>
      </c>
    </row>
    <row r="45" spans="1:11">
      <c r="A45" t="s">
        <v>51</v>
      </c>
      <c r="B45" s="12">
        <v>46078</v>
      </c>
      <c r="C45" t="s">
        <v>114</v>
      </c>
      <c r="D45" t="s">
        <v>123</v>
      </c>
      <c r="E45">
        <v>1</v>
      </c>
      <c r="F45">
        <v>4200</v>
      </c>
      <c r="G45">
        <v>4200</v>
      </c>
      <c r="H45" t="s">
        <v>126</v>
      </c>
      <c r="I45" t="s">
        <v>130</v>
      </c>
      <c r="J45" t="s">
        <v>132</v>
      </c>
      <c r="K45" s="12" t="str">
        <f t="shared" si="0"/>
        <v>February</v>
      </c>
    </row>
    <row r="46" spans="1:11">
      <c r="A46" t="s">
        <v>52</v>
      </c>
      <c r="B46" s="12">
        <v>46172</v>
      </c>
      <c r="C46" t="s">
        <v>109</v>
      </c>
      <c r="D46" t="s">
        <v>121</v>
      </c>
      <c r="E46">
        <v>4</v>
      </c>
      <c r="F46">
        <v>8500</v>
      </c>
      <c r="G46">
        <v>34000</v>
      </c>
      <c r="H46" t="s">
        <v>127</v>
      </c>
      <c r="I46" t="s">
        <v>129</v>
      </c>
      <c r="J46" t="s">
        <v>132</v>
      </c>
      <c r="K46" s="12" t="str">
        <f t="shared" si="0"/>
        <v>May</v>
      </c>
    </row>
    <row r="47" spans="1:11">
      <c r="A47" t="s">
        <v>53</v>
      </c>
      <c r="B47" s="12">
        <v>46040</v>
      </c>
      <c r="C47" t="s">
        <v>108</v>
      </c>
      <c r="D47" t="s">
        <v>120</v>
      </c>
      <c r="E47">
        <v>5</v>
      </c>
      <c r="F47">
        <v>1800</v>
      </c>
      <c r="G47">
        <v>9000</v>
      </c>
      <c r="H47" t="s">
        <v>126</v>
      </c>
      <c r="I47" t="s">
        <v>129</v>
      </c>
      <c r="J47" t="s">
        <v>134</v>
      </c>
      <c r="K47" s="12" t="str">
        <f t="shared" si="0"/>
        <v>January</v>
      </c>
    </row>
    <row r="48" spans="1:11">
      <c r="A48" t="s">
        <v>54</v>
      </c>
      <c r="B48" s="12">
        <v>46168</v>
      </c>
      <c r="C48" t="s">
        <v>111</v>
      </c>
      <c r="D48" t="s">
        <v>121</v>
      </c>
      <c r="E48">
        <v>2</v>
      </c>
      <c r="F48">
        <v>3200</v>
      </c>
      <c r="G48">
        <v>6400</v>
      </c>
      <c r="H48" t="s">
        <v>126</v>
      </c>
      <c r="I48" t="s">
        <v>129</v>
      </c>
      <c r="J48" t="s">
        <v>134</v>
      </c>
      <c r="K48" s="12" t="str">
        <f t="shared" si="0"/>
        <v>May</v>
      </c>
    </row>
    <row r="49" spans="1:11">
      <c r="A49" t="s">
        <v>55</v>
      </c>
      <c r="B49" s="12">
        <v>46172</v>
      </c>
      <c r="C49" t="s">
        <v>107</v>
      </c>
      <c r="D49" t="s">
        <v>119</v>
      </c>
      <c r="E49">
        <v>5</v>
      </c>
      <c r="F49">
        <v>4500</v>
      </c>
      <c r="G49">
        <v>22500</v>
      </c>
      <c r="H49" t="s">
        <v>125</v>
      </c>
      <c r="I49" t="s">
        <v>130</v>
      </c>
      <c r="J49" t="s">
        <v>131</v>
      </c>
      <c r="K49" s="12" t="str">
        <f t="shared" si="0"/>
        <v>May</v>
      </c>
    </row>
    <row r="50" spans="1:11">
      <c r="A50" t="s">
        <v>56</v>
      </c>
      <c r="B50" s="12">
        <v>46103</v>
      </c>
      <c r="C50" t="s">
        <v>107</v>
      </c>
      <c r="D50" t="s">
        <v>119</v>
      </c>
      <c r="E50">
        <v>2</v>
      </c>
      <c r="F50">
        <v>4500</v>
      </c>
      <c r="G50">
        <v>9000</v>
      </c>
      <c r="H50" t="s">
        <v>125</v>
      </c>
      <c r="I50" t="s">
        <v>130</v>
      </c>
      <c r="J50" t="s">
        <v>131</v>
      </c>
      <c r="K50" s="12" t="str">
        <f t="shared" si="0"/>
        <v>March</v>
      </c>
    </row>
    <row r="51" spans="1:11">
      <c r="A51" t="s">
        <v>57</v>
      </c>
      <c r="B51" s="12">
        <v>46099</v>
      </c>
      <c r="C51" t="s">
        <v>107</v>
      </c>
      <c r="D51" t="s">
        <v>119</v>
      </c>
      <c r="E51">
        <v>4</v>
      </c>
      <c r="F51">
        <v>4500</v>
      </c>
      <c r="G51">
        <v>18000</v>
      </c>
      <c r="H51" t="s">
        <v>125</v>
      </c>
      <c r="I51" t="s">
        <v>129</v>
      </c>
      <c r="J51" t="s">
        <v>132</v>
      </c>
      <c r="K51" s="12" t="str">
        <f t="shared" si="0"/>
        <v>March</v>
      </c>
    </row>
    <row r="52" spans="1:11">
      <c r="A52" t="s">
        <v>58</v>
      </c>
      <c r="B52" s="12">
        <v>46167</v>
      </c>
      <c r="C52" t="s">
        <v>115</v>
      </c>
      <c r="D52" t="s">
        <v>124</v>
      </c>
      <c r="E52">
        <v>1</v>
      </c>
      <c r="F52">
        <v>1800</v>
      </c>
      <c r="G52">
        <v>1800</v>
      </c>
      <c r="H52" t="s">
        <v>126</v>
      </c>
      <c r="I52" t="s">
        <v>129</v>
      </c>
      <c r="J52" t="s">
        <v>133</v>
      </c>
      <c r="K52" s="12" t="str">
        <f t="shared" si="0"/>
        <v>May</v>
      </c>
    </row>
    <row r="53" spans="1:11">
      <c r="A53" t="s">
        <v>59</v>
      </c>
      <c r="B53" s="12">
        <v>46112</v>
      </c>
      <c r="C53" t="s">
        <v>108</v>
      </c>
      <c r="D53" t="s">
        <v>120</v>
      </c>
      <c r="E53">
        <v>1</v>
      </c>
      <c r="F53">
        <v>1800</v>
      </c>
      <c r="G53">
        <v>1800</v>
      </c>
      <c r="H53" t="s">
        <v>127</v>
      </c>
      <c r="I53" t="s">
        <v>130</v>
      </c>
      <c r="J53" t="s">
        <v>133</v>
      </c>
      <c r="K53" s="12" t="str">
        <f t="shared" si="0"/>
        <v>March</v>
      </c>
    </row>
    <row r="54" spans="1:11">
      <c r="A54" t="s">
        <v>60</v>
      </c>
      <c r="B54" s="12">
        <v>46135</v>
      </c>
      <c r="C54" t="s">
        <v>108</v>
      </c>
      <c r="D54" t="s">
        <v>120</v>
      </c>
      <c r="E54">
        <v>5</v>
      </c>
      <c r="F54">
        <v>1800</v>
      </c>
      <c r="G54">
        <v>9000</v>
      </c>
      <c r="H54" t="s">
        <v>125</v>
      </c>
      <c r="I54" t="s">
        <v>129</v>
      </c>
      <c r="J54" t="s">
        <v>133</v>
      </c>
      <c r="K54" s="12" t="str">
        <f t="shared" si="0"/>
        <v>April</v>
      </c>
    </row>
    <row r="55" spans="1:11">
      <c r="A55" t="s">
        <v>61</v>
      </c>
      <c r="B55" s="12">
        <v>46049</v>
      </c>
      <c r="C55" t="s">
        <v>107</v>
      </c>
      <c r="D55" t="s">
        <v>119</v>
      </c>
      <c r="E55">
        <v>2</v>
      </c>
      <c r="F55">
        <v>4500</v>
      </c>
      <c r="G55">
        <v>9000</v>
      </c>
      <c r="H55" t="s">
        <v>125</v>
      </c>
      <c r="I55" t="s">
        <v>129</v>
      </c>
      <c r="J55" t="s">
        <v>132</v>
      </c>
      <c r="K55" s="12" t="str">
        <f t="shared" si="0"/>
        <v>January</v>
      </c>
    </row>
    <row r="56" spans="1:11">
      <c r="A56" t="s">
        <v>62</v>
      </c>
      <c r="B56" s="12">
        <v>46164</v>
      </c>
      <c r="C56" t="s">
        <v>110</v>
      </c>
      <c r="D56" t="s">
        <v>122</v>
      </c>
      <c r="E56">
        <v>2</v>
      </c>
      <c r="F56">
        <v>3800</v>
      </c>
      <c r="G56">
        <v>7600</v>
      </c>
      <c r="H56" t="s">
        <v>125</v>
      </c>
      <c r="I56" t="s">
        <v>130</v>
      </c>
      <c r="J56" t="s">
        <v>131</v>
      </c>
      <c r="K56" s="12" t="str">
        <f t="shared" si="0"/>
        <v>May</v>
      </c>
    </row>
    <row r="57" spans="1:11">
      <c r="A57" t="s">
        <v>63</v>
      </c>
      <c r="B57" s="12">
        <v>46110</v>
      </c>
      <c r="C57" t="s">
        <v>110</v>
      </c>
      <c r="D57" t="s">
        <v>122</v>
      </c>
      <c r="E57">
        <v>2</v>
      </c>
      <c r="F57">
        <v>3800</v>
      </c>
      <c r="G57">
        <v>7600</v>
      </c>
      <c r="H57" t="s">
        <v>125</v>
      </c>
      <c r="I57" t="s">
        <v>130</v>
      </c>
      <c r="J57" t="s">
        <v>133</v>
      </c>
      <c r="K57" s="12" t="str">
        <f t="shared" si="0"/>
        <v>March</v>
      </c>
    </row>
    <row r="58" spans="1:11">
      <c r="A58" t="s">
        <v>64</v>
      </c>
      <c r="B58" s="12">
        <v>46046</v>
      </c>
      <c r="C58" t="s">
        <v>109</v>
      </c>
      <c r="D58" t="s">
        <v>121</v>
      </c>
      <c r="E58">
        <v>6</v>
      </c>
      <c r="F58">
        <v>8500</v>
      </c>
      <c r="G58">
        <v>51000</v>
      </c>
      <c r="H58" t="s">
        <v>128</v>
      </c>
      <c r="I58" t="s">
        <v>130</v>
      </c>
      <c r="J58" t="s">
        <v>132</v>
      </c>
      <c r="K58" s="12" t="str">
        <f t="shared" si="0"/>
        <v>January</v>
      </c>
    </row>
    <row r="59" spans="1:11">
      <c r="A59" t="s">
        <v>65</v>
      </c>
      <c r="B59" s="12">
        <v>46108</v>
      </c>
      <c r="C59" t="s">
        <v>109</v>
      </c>
      <c r="D59" t="s">
        <v>121</v>
      </c>
      <c r="E59">
        <v>2</v>
      </c>
      <c r="F59">
        <v>8500</v>
      </c>
      <c r="G59">
        <v>17000</v>
      </c>
      <c r="H59" t="s">
        <v>125</v>
      </c>
      <c r="I59" t="s">
        <v>129</v>
      </c>
      <c r="J59" t="s">
        <v>134</v>
      </c>
      <c r="K59" s="12" t="str">
        <f t="shared" si="0"/>
        <v>March</v>
      </c>
    </row>
    <row r="60" spans="1:11">
      <c r="A60" t="s">
        <v>66</v>
      </c>
      <c r="B60" s="12">
        <v>46132</v>
      </c>
      <c r="C60" t="s">
        <v>112</v>
      </c>
      <c r="D60" t="s">
        <v>119</v>
      </c>
      <c r="E60">
        <v>5</v>
      </c>
      <c r="F60">
        <v>1000</v>
      </c>
      <c r="G60">
        <v>5000</v>
      </c>
      <c r="H60" t="s">
        <v>126</v>
      </c>
      <c r="I60" t="s">
        <v>129</v>
      </c>
      <c r="J60" t="s">
        <v>132</v>
      </c>
      <c r="K60" s="12" t="str">
        <f t="shared" si="0"/>
        <v>April</v>
      </c>
    </row>
    <row r="61" spans="1:11">
      <c r="A61" t="s">
        <v>67</v>
      </c>
      <c r="B61" s="12">
        <v>46061</v>
      </c>
      <c r="C61" t="s">
        <v>110</v>
      </c>
      <c r="D61" t="s">
        <v>122</v>
      </c>
      <c r="E61">
        <v>5</v>
      </c>
      <c r="F61">
        <v>3800</v>
      </c>
      <c r="G61">
        <v>19000</v>
      </c>
      <c r="H61" t="s">
        <v>126</v>
      </c>
      <c r="I61" t="s">
        <v>130</v>
      </c>
      <c r="J61" t="s">
        <v>131</v>
      </c>
      <c r="K61" s="12" t="str">
        <f t="shared" si="0"/>
        <v>February</v>
      </c>
    </row>
    <row r="62" spans="1:11">
      <c r="A62" t="s">
        <v>68</v>
      </c>
      <c r="B62" s="12">
        <v>46055</v>
      </c>
      <c r="C62" t="s">
        <v>116</v>
      </c>
      <c r="D62" t="s">
        <v>124</v>
      </c>
      <c r="E62">
        <v>1</v>
      </c>
      <c r="F62">
        <v>1200</v>
      </c>
      <c r="G62">
        <v>1200</v>
      </c>
      <c r="H62" t="s">
        <v>125</v>
      </c>
      <c r="I62" t="s">
        <v>130</v>
      </c>
      <c r="J62" t="s">
        <v>132</v>
      </c>
      <c r="K62" s="12" t="str">
        <f t="shared" si="0"/>
        <v>February</v>
      </c>
    </row>
    <row r="63" spans="1:11">
      <c r="A63" t="s">
        <v>69</v>
      </c>
      <c r="B63" s="12">
        <v>46076</v>
      </c>
      <c r="C63" t="s">
        <v>117</v>
      </c>
      <c r="D63" t="s">
        <v>123</v>
      </c>
      <c r="E63">
        <v>6</v>
      </c>
      <c r="F63">
        <v>1500</v>
      </c>
      <c r="G63">
        <v>9000</v>
      </c>
      <c r="H63" t="s">
        <v>127</v>
      </c>
      <c r="I63" t="s">
        <v>129</v>
      </c>
      <c r="J63" t="s">
        <v>133</v>
      </c>
      <c r="K63" s="12" t="str">
        <f t="shared" si="0"/>
        <v>February</v>
      </c>
    </row>
    <row r="64" spans="1:11">
      <c r="A64" t="s">
        <v>70</v>
      </c>
      <c r="B64" s="12">
        <v>46127</v>
      </c>
      <c r="C64" t="s">
        <v>112</v>
      </c>
      <c r="D64" t="s">
        <v>119</v>
      </c>
      <c r="E64">
        <v>5</v>
      </c>
      <c r="F64">
        <v>1000</v>
      </c>
      <c r="G64">
        <v>5000</v>
      </c>
      <c r="H64" t="s">
        <v>127</v>
      </c>
      <c r="I64" t="s">
        <v>129</v>
      </c>
      <c r="J64" t="s">
        <v>131</v>
      </c>
      <c r="K64" s="12" t="str">
        <f t="shared" si="0"/>
        <v>April</v>
      </c>
    </row>
    <row r="65" spans="1:11">
      <c r="A65" t="s">
        <v>71</v>
      </c>
      <c r="B65" s="12">
        <v>46128</v>
      </c>
      <c r="C65" t="s">
        <v>108</v>
      </c>
      <c r="D65" t="s">
        <v>120</v>
      </c>
      <c r="E65">
        <v>1</v>
      </c>
      <c r="F65">
        <v>1800</v>
      </c>
      <c r="G65">
        <v>1800</v>
      </c>
      <c r="H65" t="s">
        <v>127</v>
      </c>
      <c r="I65" t="s">
        <v>130</v>
      </c>
      <c r="J65" t="s">
        <v>134</v>
      </c>
      <c r="K65" s="12" t="str">
        <f t="shared" si="0"/>
        <v>April</v>
      </c>
    </row>
    <row r="66" spans="1:11">
      <c r="A66" t="s">
        <v>72</v>
      </c>
      <c r="B66" s="12">
        <v>46086</v>
      </c>
      <c r="C66" t="s">
        <v>107</v>
      </c>
      <c r="D66" t="s">
        <v>119</v>
      </c>
      <c r="E66">
        <v>3</v>
      </c>
      <c r="F66">
        <v>4500</v>
      </c>
      <c r="G66">
        <v>13500</v>
      </c>
      <c r="H66" t="s">
        <v>127</v>
      </c>
      <c r="I66" t="s">
        <v>129</v>
      </c>
      <c r="J66" t="s">
        <v>134</v>
      </c>
      <c r="K66" s="12" t="str">
        <f t="shared" si="0"/>
        <v>March</v>
      </c>
    </row>
    <row r="67" spans="1:11">
      <c r="A67" t="s">
        <v>73</v>
      </c>
      <c r="B67" s="12">
        <v>46143</v>
      </c>
      <c r="C67" t="s">
        <v>109</v>
      </c>
      <c r="D67" t="s">
        <v>121</v>
      </c>
      <c r="E67">
        <v>2</v>
      </c>
      <c r="F67">
        <v>8500</v>
      </c>
      <c r="G67">
        <v>17000</v>
      </c>
      <c r="H67" t="s">
        <v>127</v>
      </c>
      <c r="I67" t="s">
        <v>130</v>
      </c>
      <c r="J67" t="s">
        <v>133</v>
      </c>
      <c r="K67" s="12" t="str">
        <f t="shared" si="0"/>
        <v>May</v>
      </c>
    </row>
    <row r="68" spans="1:11">
      <c r="A68" t="s">
        <v>74</v>
      </c>
      <c r="B68" s="12">
        <v>46081</v>
      </c>
      <c r="C68" t="s">
        <v>114</v>
      </c>
      <c r="D68" t="s">
        <v>123</v>
      </c>
      <c r="E68">
        <v>2</v>
      </c>
      <c r="F68">
        <v>4200</v>
      </c>
      <c r="G68">
        <v>8400</v>
      </c>
      <c r="H68" t="s">
        <v>126</v>
      </c>
      <c r="I68" t="s">
        <v>129</v>
      </c>
      <c r="J68" t="s">
        <v>134</v>
      </c>
      <c r="K68" s="12" t="str">
        <f t="shared" ref="K68:K101" si="1">TEXT($B68,"mmmm")</f>
        <v>February</v>
      </c>
    </row>
    <row r="69" spans="1:11">
      <c r="A69" t="s">
        <v>75</v>
      </c>
      <c r="B69" s="12">
        <v>46094</v>
      </c>
      <c r="C69" t="s">
        <v>117</v>
      </c>
      <c r="D69" t="s">
        <v>123</v>
      </c>
      <c r="E69">
        <v>1</v>
      </c>
      <c r="F69">
        <v>1500</v>
      </c>
      <c r="G69">
        <v>1500</v>
      </c>
      <c r="H69" t="s">
        <v>125</v>
      </c>
      <c r="I69" t="s">
        <v>130</v>
      </c>
      <c r="J69" t="s">
        <v>134</v>
      </c>
      <c r="K69" s="12" t="str">
        <f t="shared" si="1"/>
        <v>March</v>
      </c>
    </row>
    <row r="70" spans="1:11">
      <c r="A70" t="s">
        <v>76</v>
      </c>
      <c r="B70" s="12">
        <v>46160</v>
      </c>
      <c r="C70" t="s">
        <v>107</v>
      </c>
      <c r="D70" t="s">
        <v>119</v>
      </c>
      <c r="E70">
        <v>3</v>
      </c>
      <c r="F70">
        <v>4500</v>
      </c>
      <c r="G70">
        <v>13500</v>
      </c>
      <c r="H70" t="s">
        <v>126</v>
      </c>
      <c r="I70" t="s">
        <v>129</v>
      </c>
      <c r="J70" t="s">
        <v>133</v>
      </c>
      <c r="K70" s="12" t="str">
        <f t="shared" si="1"/>
        <v>May</v>
      </c>
    </row>
    <row r="71" spans="1:11">
      <c r="A71" t="s">
        <v>77</v>
      </c>
      <c r="B71" s="12">
        <v>46171</v>
      </c>
      <c r="C71" t="s">
        <v>108</v>
      </c>
      <c r="D71" t="s">
        <v>120</v>
      </c>
      <c r="E71">
        <v>3</v>
      </c>
      <c r="F71">
        <v>1800</v>
      </c>
      <c r="G71">
        <v>5400</v>
      </c>
      <c r="H71" t="s">
        <v>126</v>
      </c>
      <c r="I71" t="s">
        <v>129</v>
      </c>
      <c r="J71" t="s">
        <v>134</v>
      </c>
      <c r="K71" s="12" t="str">
        <f t="shared" si="1"/>
        <v>May</v>
      </c>
    </row>
    <row r="72" spans="1:11">
      <c r="A72" t="s">
        <v>78</v>
      </c>
      <c r="B72" s="12">
        <v>46103</v>
      </c>
      <c r="C72" t="s">
        <v>117</v>
      </c>
      <c r="D72" t="s">
        <v>123</v>
      </c>
      <c r="E72">
        <v>4</v>
      </c>
      <c r="F72">
        <v>1500</v>
      </c>
      <c r="G72">
        <v>6000</v>
      </c>
      <c r="H72" t="s">
        <v>126</v>
      </c>
      <c r="I72" t="s">
        <v>130</v>
      </c>
      <c r="J72" t="s">
        <v>131</v>
      </c>
      <c r="K72" s="12" t="str">
        <f t="shared" si="1"/>
        <v>March</v>
      </c>
    </row>
    <row r="73" spans="1:11">
      <c r="A73" t="s">
        <v>79</v>
      </c>
      <c r="B73" s="12">
        <v>46034</v>
      </c>
      <c r="C73" t="s">
        <v>114</v>
      </c>
      <c r="D73" t="s">
        <v>123</v>
      </c>
      <c r="E73">
        <v>6</v>
      </c>
      <c r="F73">
        <v>4200</v>
      </c>
      <c r="G73">
        <v>25200</v>
      </c>
      <c r="H73" t="s">
        <v>128</v>
      </c>
      <c r="I73" t="s">
        <v>129</v>
      </c>
      <c r="J73" t="s">
        <v>131</v>
      </c>
      <c r="K73" s="12" t="str">
        <f t="shared" si="1"/>
        <v>January</v>
      </c>
    </row>
    <row r="74" spans="1:11">
      <c r="A74" t="s">
        <v>80</v>
      </c>
      <c r="B74" s="12">
        <v>46133</v>
      </c>
      <c r="C74" t="s">
        <v>117</v>
      </c>
      <c r="D74" t="s">
        <v>123</v>
      </c>
      <c r="E74">
        <v>1</v>
      </c>
      <c r="F74">
        <v>1500</v>
      </c>
      <c r="G74">
        <v>1500</v>
      </c>
      <c r="H74" t="s">
        <v>125</v>
      </c>
      <c r="I74" t="s">
        <v>130</v>
      </c>
      <c r="J74" t="s">
        <v>132</v>
      </c>
      <c r="K74" s="12" t="str">
        <f t="shared" si="1"/>
        <v>April</v>
      </c>
    </row>
    <row r="75" spans="1:11">
      <c r="A75" t="s">
        <v>81</v>
      </c>
      <c r="B75" s="12">
        <v>46099</v>
      </c>
      <c r="C75" t="s">
        <v>110</v>
      </c>
      <c r="D75" t="s">
        <v>122</v>
      </c>
      <c r="E75">
        <v>5</v>
      </c>
      <c r="F75">
        <v>3800</v>
      </c>
      <c r="G75">
        <v>19000</v>
      </c>
      <c r="H75" t="s">
        <v>125</v>
      </c>
      <c r="I75" t="s">
        <v>130</v>
      </c>
      <c r="J75" t="s">
        <v>133</v>
      </c>
      <c r="K75" s="12" t="str">
        <f t="shared" si="1"/>
        <v>March</v>
      </c>
    </row>
    <row r="76" spans="1:11">
      <c r="A76" t="s">
        <v>82</v>
      </c>
      <c r="B76" s="12">
        <v>46098</v>
      </c>
      <c r="C76" t="s">
        <v>116</v>
      </c>
      <c r="D76" t="s">
        <v>124</v>
      </c>
      <c r="E76">
        <v>5</v>
      </c>
      <c r="F76">
        <v>1200</v>
      </c>
      <c r="G76">
        <v>6000</v>
      </c>
      <c r="H76" t="s">
        <v>127</v>
      </c>
      <c r="I76" t="s">
        <v>129</v>
      </c>
      <c r="J76" t="s">
        <v>134</v>
      </c>
      <c r="K76" s="12" t="str">
        <f t="shared" si="1"/>
        <v>March</v>
      </c>
    </row>
    <row r="77" spans="1:11">
      <c r="A77" t="s">
        <v>83</v>
      </c>
      <c r="B77" s="12">
        <v>46120</v>
      </c>
      <c r="C77" t="s">
        <v>107</v>
      </c>
      <c r="D77" t="s">
        <v>119</v>
      </c>
      <c r="E77">
        <v>6</v>
      </c>
      <c r="F77">
        <v>4500</v>
      </c>
      <c r="G77">
        <v>27000</v>
      </c>
      <c r="H77" t="s">
        <v>127</v>
      </c>
      <c r="I77" t="s">
        <v>130</v>
      </c>
      <c r="J77" t="s">
        <v>134</v>
      </c>
      <c r="K77" s="12" t="str">
        <f t="shared" si="1"/>
        <v>April</v>
      </c>
    </row>
    <row r="78" spans="1:11">
      <c r="A78" t="s">
        <v>84</v>
      </c>
      <c r="B78" s="12">
        <v>46023</v>
      </c>
      <c r="C78" t="s">
        <v>112</v>
      </c>
      <c r="D78" t="s">
        <v>119</v>
      </c>
      <c r="E78">
        <v>3</v>
      </c>
      <c r="F78">
        <v>1000</v>
      </c>
      <c r="G78">
        <v>3000</v>
      </c>
      <c r="H78" t="s">
        <v>125</v>
      </c>
      <c r="I78" t="s">
        <v>129</v>
      </c>
      <c r="J78" t="s">
        <v>134</v>
      </c>
      <c r="K78" s="12" t="str">
        <f t="shared" si="1"/>
        <v>January</v>
      </c>
    </row>
    <row r="79" spans="1:11">
      <c r="A79" t="s">
        <v>85</v>
      </c>
      <c r="B79" s="12">
        <v>46105</v>
      </c>
      <c r="C79" t="s">
        <v>113</v>
      </c>
      <c r="D79" t="s">
        <v>119</v>
      </c>
      <c r="E79">
        <v>4</v>
      </c>
      <c r="F79">
        <v>500</v>
      </c>
      <c r="G79">
        <v>2000</v>
      </c>
      <c r="H79" t="s">
        <v>128</v>
      </c>
      <c r="I79" t="s">
        <v>130</v>
      </c>
      <c r="J79" t="s">
        <v>131</v>
      </c>
      <c r="K79" s="12" t="str">
        <f t="shared" si="1"/>
        <v>March</v>
      </c>
    </row>
    <row r="80" spans="1:11">
      <c r="A80" t="s">
        <v>86</v>
      </c>
      <c r="B80" s="12">
        <v>46144</v>
      </c>
      <c r="C80" t="s">
        <v>112</v>
      </c>
      <c r="D80" t="s">
        <v>119</v>
      </c>
      <c r="E80">
        <v>6</v>
      </c>
      <c r="F80">
        <v>1000</v>
      </c>
      <c r="G80">
        <v>6000</v>
      </c>
      <c r="H80" t="s">
        <v>127</v>
      </c>
      <c r="I80" t="s">
        <v>129</v>
      </c>
      <c r="J80" t="s">
        <v>133</v>
      </c>
      <c r="K80" s="12" t="str">
        <f t="shared" si="1"/>
        <v>May</v>
      </c>
    </row>
    <row r="81" spans="1:11">
      <c r="A81" t="s">
        <v>87</v>
      </c>
      <c r="B81" s="12">
        <v>46108</v>
      </c>
      <c r="C81" t="s">
        <v>112</v>
      </c>
      <c r="D81" t="s">
        <v>119</v>
      </c>
      <c r="E81">
        <v>1</v>
      </c>
      <c r="F81">
        <v>1000</v>
      </c>
      <c r="G81">
        <v>1000</v>
      </c>
      <c r="H81" t="s">
        <v>127</v>
      </c>
      <c r="I81" t="s">
        <v>130</v>
      </c>
      <c r="J81" t="s">
        <v>131</v>
      </c>
      <c r="K81" s="12" t="str">
        <f t="shared" si="1"/>
        <v>March</v>
      </c>
    </row>
    <row r="82" spans="1:11">
      <c r="A82" t="s">
        <v>88</v>
      </c>
      <c r="B82" s="12">
        <v>46060</v>
      </c>
      <c r="C82" t="s">
        <v>118</v>
      </c>
      <c r="D82" t="s">
        <v>123</v>
      </c>
      <c r="E82">
        <v>1</v>
      </c>
      <c r="F82">
        <v>2800</v>
      </c>
      <c r="G82">
        <v>2800</v>
      </c>
      <c r="H82" t="s">
        <v>126</v>
      </c>
      <c r="I82" t="s">
        <v>129</v>
      </c>
      <c r="J82" t="s">
        <v>134</v>
      </c>
      <c r="K82" s="12" t="str">
        <f t="shared" si="1"/>
        <v>February</v>
      </c>
    </row>
    <row r="83" spans="1:11">
      <c r="A83" t="s">
        <v>89</v>
      </c>
      <c r="B83" s="12">
        <v>46041</v>
      </c>
      <c r="C83" t="s">
        <v>113</v>
      </c>
      <c r="D83" t="s">
        <v>119</v>
      </c>
      <c r="E83">
        <v>4</v>
      </c>
      <c r="F83">
        <v>500</v>
      </c>
      <c r="G83">
        <v>2000</v>
      </c>
      <c r="H83" t="s">
        <v>128</v>
      </c>
      <c r="I83" t="s">
        <v>129</v>
      </c>
      <c r="J83" t="s">
        <v>134</v>
      </c>
      <c r="K83" s="12" t="str">
        <f t="shared" si="1"/>
        <v>January</v>
      </c>
    </row>
    <row r="84" spans="1:11">
      <c r="A84" t="s">
        <v>90</v>
      </c>
      <c r="B84" s="12">
        <v>46125</v>
      </c>
      <c r="C84" t="s">
        <v>115</v>
      </c>
      <c r="D84" t="s">
        <v>124</v>
      </c>
      <c r="E84">
        <v>2</v>
      </c>
      <c r="F84">
        <v>1800</v>
      </c>
      <c r="G84">
        <v>3600</v>
      </c>
      <c r="H84" t="s">
        <v>127</v>
      </c>
      <c r="I84" t="s">
        <v>129</v>
      </c>
      <c r="J84" t="s">
        <v>132</v>
      </c>
      <c r="K84" s="12" t="str">
        <f t="shared" si="1"/>
        <v>April</v>
      </c>
    </row>
    <row r="85" spans="1:11">
      <c r="A85" t="s">
        <v>91</v>
      </c>
      <c r="B85" s="12">
        <v>46079</v>
      </c>
      <c r="C85" t="s">
        <v>116</v>
      </c>
      <c r="D85" t="s">
        <v>124</v>
      </c>
      <c r="E85">
        <v>2</v>
      </c>
      <c r="F85">
        <v>1200</v>
      </c>
      <c r="G85">
        <v>2400</v>
      </c>
      <c r="H85" t="s">
        <v>128</v>
      </c>
      <c r="I85" t="s">
        <v>129</v>
      </c>
      <c r="J85" t="s">
        <v>131</v>
      </c>
      <c r="K85" s="12" t="str">
        <f t="shared" si="1"/>
        <v>February</v>
      </c>
    </row>
    <row r="86" spans="1:11">
      <c r="A86" t="s">
        <v>92</v>
      </c>
      <c r="B86" s="12">
        <v>46139</v>
      </c>
      <c r="C86" t="s">
        <v>111</v>
      </c>
      <c r="D86" t="s">
        <v>121</v>
      </c>
      <c r="E86">
        <v>2</v>
      </c>
      <c r="F86">
        <v>3200</v>
      </c>
      <c r="G86">
        <v>6400</v>
      </c>
      <c r="H86" t="s">
        <v>128</v>
      </c>
      <c r="I86" t="s">
        <v>130</v>
      </c>
      <c r="J86" t="s">
        <v>134</v>
      </c>
      <c r="K86" s="12" t="str">
        <f t="shared" si="1"/>
        <v>April</v>
      </c>
    </row>
    <row r="87" spans="1:11">
      <c r="A87" t="s">
        <v>93</v>
      </c>
      <c r="B87" s="12">
        <v>46152</v>
      </c>
      <c r="C87" t="s">
        <v>113</v>
      </c>
      <c r="D87" t="s">
        <v>119</v>
      </c>
      <c r="E87">
        <v>4</v>
      </c>
      <c r="F87">
        <v>500</v>
      </c>
      <c r="G87">
        <v>2000</v>
      </c>
      <c r="H87" t="s">
        <v>128</v>
      </c>
      <c r="I87" t="s">
        <v>129</v>
      </c>
      <c r="J87" t="s">
        <v>134</v>
      </c>
      <c r="K87" s="12" t="str">
        <f t="shared" si="1"/>
        <v>May</v>
      </c>
    </row>
    <row r="88" spans="1:11">
      <c r="A88" t="s">
        <v>94</v>
      </c>
      <c r="B88" s="12">
        <v>46089</v>
      </c>
      <c r="C88" t="s">
        <v>115</v>
      </c>
      <c r="D88" t="s">
        <v>124</v>
      </c>
      <c r="E88">
        <v>2</v>
      </c>
      <c r="F88">
        <v>1800</v>
      </c>
      <c r="G88">
        <v>3600</v>
      </c>
      <c r="H88" t="s">
        <v>125</v>
      </c>
      <c r="I88" t="s">
        <v>130</v>
      </c>
      <c r="J88" t="s">
        <v>131</v>
      </c>
      <c r="K88" s="12" t="str">
        <f t="shared" si="1"/>
        <v>March</v>
      </c>
    </row>
    <row r="89" spans="1:11">
      <c r="A89" t="s">
        <v>95</v>
      </c>
      <c r="B89" s="12">
        <v>46135</v>
      </c>
      <c r="C89" t="s">
        <v>114</v>
      </c>
      <c r="D89" t="s">
        <v>123</v>
      </c>
      <c r="E89">
        <v>1</v>
      </c>
      <c r="F89">
        <v>4200</v>
      </c>
      <c r="G89">
        <v>4200</v>
      </c>
      <c r="H89" t="s">
        <v>125</v>
      </c>
      <c r="I89" t="s">
        <v>129</v>
      </c>
      <c r="J89" t="s">
        <v>133</v>
      </c>
      <c r="K89" s="12" t="str">
        <f t="shared" si="1"/>
        <v>April</v>
      </c>
    </row>
    <row r="90" spans="1:11">
      <c r="A90" t="s">
        <v>96</v>
      </c>
      <c r="B90" s="12">
        <v>46104</v>
      </c>
      <c r="C90" t="s">
        <v>117</v>
      </c>
      <c r="D90" t="s">
        <v>123</v>
      </c>
      <c r="E90">
        <v>5</v>
      </c>
      <c r="F90">
        <v>1500</v>
      </c>
      <c r="G90">
        <v>7500</v>
      </c>
      <c r="H90" t="s">
        <v>126</v>
      </c>
      <c r="I90" t="s">
        <v>129</v>
      </c>
      <c r="J90" t="s">
        <v>131</v>
      </c>
      <c r="K90" s="12" t="str">
        <f t="shared" si="1"/>
        <v>March</v>
      </c>
    </row>
    <row r="91" spans="1:11">
      <c r="A91" t="s">
        <v>163</v>
      </c>
      <c r="B91" s="12">
        <v>46127</v>
      </c>
      <c r="C91" t="s">
        <v>116</v>
      </c>
      <c r="D91" t="s">
        <v>124</v>
      </c>
      <c r="E91">
        <v>3</v>
      </c>
      <c r="F91">
        <v>1200</v>
      </c>
      <c r="G91">
        <v>3600</v>
      </c>
      <c r="H91" t="s">
        <v>128</v>
      </c>
      <c r="I91" t="s">
        <v>130</v>
      </c>
      <c r="J91" t="s">
        <v>132</v>
      </c>
      <c r="K91" s="12" t="str">
        <f t="shared" si="1"/>
        <v>April</v>
      </c>
    </row>
    <row r="92" spans="1:11">
      <c r="A92" t="s">
        <v>97</v>
      </c>
      <c r="B92" s="12">
        <v>46130</v>
      </c>
      <c r="C92" t="s">
        <v>118</v>
      </c>
      <c r="D92" t="s">
        <v>123</v>
      </c>
      <c r="E92">
        <v>4</v>
      </c>
      <c r="F92">
        <v>2800</v>
      </c>
      <c r="G92">
        <v>11200</v>
      </c>
      <c r="H92" t="s">
        <v>126</v>
      </c>
      <c r="I92" t="s">
        <v>130</v>
      </c>
      <c r="J92" t="s">
        <v>134</v>
      </c>
      <c r="K92" s="12" t="str">
        <f t="shared" si="1"/>
        <v>April</v>
      </c>
    </row>
    <row r="93" spans="1:11">
      <c r="A93" t="s">
        <v>98</v>
      </c>
      <c r="B93" s="12">
        <v>46113</v>
      </c>
      <c r="C93" t="s">
        <v>109</v>
      </c>
      <c r="D93" t="s">
        <v>121</v>
      </c>
      <c r="E93">
        <v>3</v>
      </c>
      <c r="F93">
        <v>8500</v>
      </c>
      <c r="G93">
        <v>25500</v>
      </c>
      <c r="H93" t="s">
        <v>128</v>
      </c>
      <c r="I93" t="s">
        <v>130</v>
      </c>
      <c r="J93" t="s">
        <v>131</v>
      </c>
      <c r="K93" s="12" t="str">
        <f t="shared" si="1"/>
        <v>April</v>
      </c>
    </row>
    <row r="94" spans="1:11">
      <c r="A94" t="s">
        <v>99</v>
      </c>
      <c r="B94" s="12">
        <v>46079</v>
      </c>
      <c r="C94" t="s">
        <v>115</v>
      </c>
      <c r="D94" t="s">
        <v>124</v>
      </c>
      <c r="E94">
        <v>3</v>
      </c>
      <c r="F94">
        <v>1800</v>
      </c>
      <c r="G94">
        <v>5400</v>
      </c>
      <c r="H94" t="s">
        <v>128</v>
      </c>
      <c r="I94" t="s">
        <v>130</v>
      </c>
      <c r="J94" t="s">
        <v>132</v>
      </c>
      <c r="K94" s="12" t="str">
        <f t="shared" si="1"/>
        <v>February</v>
      </c>
    </row>
    <row r="95" spans="1:11">
      <c r="A95" t="s">
        <v>100</v>
      </c>
      <c r="B95" s="12">
        <v>46109</v>
      </c>
      <c r="C95" t="s">
        <v>116</v>
      </c>
      <c r="D95" t="s">
        <v>124</v>
      </c>
      <c r="E95">
        <v>6</v>
      </c>
      <c r="F95">
        <v>1200</v>
      </c>
      <c r="G95">
        <v>7200</v>
      </c>
      <c r="H95" t="s">
        <v>128</v>
      </c>
      <c r="I95" t="s">
        <v>129</v>
      </c>
      <c r="J95" t="s">
        <v>134</v>
      </c>
      <c r="K95" s="12" t="str">
        <f t="shared" si="1"/>
        <v>March</v>
      </c>
    </row>
    <row r="96" spans="1:11">
      <c r="A96" t="s">
        <v>101</v>
      </c>
      <c r="B96" s="12">
        <v>46159</v>
      </c>
      <c r="C96" t="s">
        <v>108</v>
      </c>
      <c r="D96" t="s">
        <v>120</v>
      </c>
      <c r="E96">
        <v>1</v>
      </c>
      <c r="F96">
        <v>1800</v>
      </c>
      <c r="G96">
        <v>1800</v>
      </c>
      <c r="H96" t="s">
        <v>128</v>
      </c>
      <c r="I96" t="s">
        <v>129</v>
      </c>
      <c r="J96" t="s">
        <v>132</v>
      </c>
      <c r="K96" s="12" t="str">
        <f t="shared" si="1"/>
        <v>May</v>
      </c>
    </row>
    <row r="97" spans="1:11">
      <c r="A97" t="s">
        <v>102</v>
      </c>
      <c r="B97" s="12">
        <v>46132</v>
      </c>
      <c r="C97" t="s">
        <v>107</v>
      </c>
      <c r="D97" t="s">
        <v>119</v>
      </c>
      <c r="E97">
        <v>2</v>
      </c>
      <c r="F97">
        <v>4500</v>
      </c>
      <c r="G97">
        <v>9000</v>
      </c>
      <c r="H97" t="s">
        <v>128</v>
      </c>
      <c r="I97" t="s">
        <v>129</v>
      </c>
      <c r="J97" t="s">
        <v>132</v>
      </c>
      <c r="K97" s="12" t="str">
        <f t="shared" si="1"/>
        <v>April</v>
      </c>
    </row>
    <row r="98" spans="1:11">
      <c r="A98" t="s">
        <v>103</v>
      </c>
      <c r="B98" s="12">
        <v>46120</v>
      </c>
      <c r="C98" t="s">
        <v>114</v>
      </c>
      <c r="D98" t="s">
        <v>123</v>
      </c>
      <c r="E98">
        <v>3</v>
      </c>
      <c r="F98">
        <v>4200</v>
      </c>
      <c r="G98">
        <v>12600</v>
      </c>
      <c r="H98" t="s">
        <v>127</v>
      </c>
      <c r="I98" t="s">
        <v>130</v>
      </c>
      <c r="J98" t="s">
        <v>133</v>
      </c>
      <c r="K98" s="12" t="str">
        <f t="shared" si="1"/>
        <v>April</v>
      </c>
    </row>
    <row r="99" spans="1:11">
      <c r="A99" t="s">
        <v>104</v>
      </c>
      <c r="B99" s="12">
        <v>46120</v>
      </c>
      <c r="C99" t="s">
        <v>117</v>
      </c>
      <c r="D99" t="s">
        <v>123</v>
      </c>
      <c r="E99">
        <v>3</v>
      </c>
      <c r="F99">
        <v>1500</v>
      </c>
      <c r="G99">
        <v>4500</v>
      </c>
      <c r="H99" t="s">
        <v>128</v>
      </c>
      <c r="I99" t="s">
        <v>130</v>
      </c>
      <c r="J99" t="s">
        <v>132</v>
      </c>
      <c r="K99" s="12" t="str">
        <f t="shared" si="1"/>
        <v>April</v>
      </c>
    </row>
    <row r="100" spans="1:11">
      <c r="A100" t="s">
        <v>105</v>
      </c>
      <c r="B100" s="12">
        <v>46027</v>
      </c>
      <c r="C100" t="s">
        <v>115</v>
      </c>
      <c r="D100" t="s">
        <v>124</v>
      </c>
      <c r="E100">
        <v>6</v>
      </c>
      <c r="F100">
        <v>1800</v>
      </c>
      <c r="G100">
        <v>10800</v>
      </c>
      <c r="H100" t="s">
        <v>126</v>
      </c>
      <c r="I100" t="s">
        <v>130</v>
      </c>
      <c r="J100" t="s">
        <v>131</v>
      </c>
      <c r="K100" s="12" t="str">
        <f t="shared" si="1"/>
        <v>January</v>
      </c>
    </row>
    <row r="101" spans="1:11">
      <c r="A101" t="s">
        <v>106</v>
      </c>
      <c r="B101" s="12">
        <v>46040</v>
      </c>
      <c r="C101" t="s">
        <v>107</v>
      </c>
      <c r="D101" t="s">
        <v>119</v>
      </c>
      <c r="E101">
        <v>6</v>
      </c>
      <c r="F101">
        <v>4500</v>
      </c>
      <c r="G101">
        <v>27000</v>
      </c>
      <c r="H101" t="s">
        <v>126</v>
      </c>
      <c r="I101" t="s">
        <v>129</v>
      </c>
      <c r="J101" t="s">
        <v>131</v>
      </c>
      <c r="K101" s="12" t="str">
        <f t="shared" si="1"/>
        <v>January</v>
      </c>
    </row>
    <row r="102" spans="1:11">
      <c r="B102" s="12"/>
    </row>
  </sheetData>
  <pageMargins left="0.7" right="0.7" top="0.75" bottom="0.75" header="0.3" footer="0.3"/>
  <pageSetup scale="45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32"/>
  <sheetViews>
    <sheetView workbookViewId="0">
      <selection activeCell="C23" sqref="C23"/>
    </sheetView>
  </sheetViews>
  <sheetFormatPr defaultRowHeight="15"/>
  <cols>
    <col min="1" max="1" width="36" style="5" bestFit="1" customWidth="1"/>
    <col min="2" max="2" width="20" style="2" bestFit="1" customWidth="1"/>
    <col min="3" max="3" width="29.85546875" style="5" bestFit="1" customWidth="1"/>
    <col min="4" max="4" width="18.5703125" style="2" bestFit="1" customWidth="1"/>
    <col min="5" max="5" width="18.140625" bestFit="1" customWidth="1"/>
    <col min="6" max="6" width="21.5703125" bestFit="1" customWidth="1"/>
  </cols>
  <sheetData>
    <row r="1" spans="1:5">
      <c r="A1" t="s">
        <v>135</v>
      </c>
      <c r="B1" s="2" t="s">
        <v>136</v>
      </c>
      <c r="C1" s="5" t="s">
        <v>137</v>
      </c>
      <c r="D1" s="2" t="s">
        <v>138</v>
      </c>
      <c r="E1" t="s">
        <v>139</v>
      </c>
    </row>
    <row r="2" spans="1:5">
      <c r="B2" s="2" t="s">
        <v>173</v>
      </c>
    </row>
    <row r="3" spans="1:5">
      <c r="A3" s="4" t="s">
        <v>151</v>
      </c>
      <c r="C3" s="3" t="s">
        <v>164</v>
      </c>
    </row>
    <row r="4" spans="1:5">
      <c r="A4" s="5" t="s">
        <v>145</v>
      </c>
      <c r="B4" s="2">
        <f>SUM('Cleaned Data'!G3:G101)</f>
        <v>1013900</v>
      </c>
      <c r="C4" s="5" t="s">
        <v>165</v>
      </c>
      <c r="D4" s="2" t="str">
        <f>INDEX(C7:C10,MATCH(MAX(D7:D10),D7:D10,0))</f>
        <v>Lagos</v>
      </c>
    </row>
    <row r="5" spans="1:5">
      <c r="A5" s="5" t="s">
        <v>146</v>
      </c>
      <c r="B5" s="2">
        <f>SUM('Cleaned Data'!E3:E101)</f>
        <v>320</v>
      </c>
      <c r="C5" s="5" t="s">
        <v>166</v>
      </c>
      <c r="D5" s="2" t="str">
        <f>INDEX(C8:C11,MATCH(MIN(D8:D10),D8:D10,0))</f>
        <v>Ife</v>
      </c>
    </row>
    <row r="6" spans="1:5">
      <c r="A6" s="5" t="s">
        <v>147</v>
      </c>
      <c r="B6" s="6">
        <f>AVERAGE('Cleaned Data'!G3:G101)</f>
        <v>10241.414141414141</v>
      </c>
      <c r="C6" s="5" t="s">
        <v>171</v>
      </c>
    </row>
    <row r="7" spans="1:5">
      <c r="A7" s="5" t="s">
        <v>148</v>
      </c>
      <c r="B7" s="2">
        <f>MAX('Cleaned Data'!G3:G101)</f>
        <v>51000</v>
      </c>
      <c r="C7" s="5" t="s">
        <v>132</v>
      </c>
      <c r="D7" s="2">
        <f>SUMIFS('Cleaned Data'!$G$3:$G$101,'Cleaned Data'!$J$3:$J$101,$C7)</f>
        <v>308500</v>
      </c>
    </row>
    <row r="8" spans="1:5">
      <c r="A8" s="5" t="s">
        <v>149</v>
      </c>
      <c r="B8" s="2">
        <f>MIN('Cleaned Data'!G3:G101)</f>
        <v>1000</v>
      </c>
      <c r="C8" s="5" t="s">
        <v>134</v>
      </c>
      <c r="D8" s="2">
        <f>SUMIFS('Cleaned Data'!$G$3:$G$101,'Cleaned Data'!$J$3:$J$101,$C8)</f>
        <v>202100</v>
      </c>
    </row>
    <row r="9" spans="1:5">
      <c r="A9" s="5" t="s">
        <v>150</v>
      </c>
      <c r="B9" s="2">
        <f>COUNTA('Cleaned Data'!A3:A101)</f>
        <v>99</v>
      </c>
      <c r="C9" s="5" t="s">
        <v>133</v>
      </c>
      <c r="D9" s="2">
        <f>SUMIFS('Cleaned Data'!$G$3:$G$101,'Cleaned Data'!$J$3:$J$101,$C9)</f>
        <v>209400</v>
      </c>
    </row>
    <row r="10" spans="1:5">
      <c r="C10" s="5" t="s">
        <v>131</v>
      </c>
      <c r="D10" s="2">
        <f>SUMIFS('Cleaned Data'!$G$3:$G$101,'Cleaned Data'!$J$3:$J$101,$C10)</f>
        <v>293900</v>
      </c>
    </row>
    <row r="12" spans="1:5">
      <c r="A12" s="3" t="s">
        <v>152</v>
      </c>
      <c r="C12" s="3" t="s">
        <v>167</v>
      </c>
    </row>
    <row r="13" spans="1:5" ht="30">
      <c r="A13" s="5" t="s">
        <v>153</v>
      </c>
      <c r="B13" s="2" t="str">
        <f>INDEX(Sheet9!$A$3:$A$14,MATCH(MAX(Sheet9!B3:B14),Sheet9!$B$3:$B$14,0))</f>
        <v>Rice 5kg</v>
      </c>
      <c r="C13" s="7" t="s">
        <v>168</v>
      </c>
      <c r="D13" s="2" t="str">
        <f>INDEX(C15:C18,MATCH(MAX(D15:D18),D15:D18))</f>
        <v>Cash</v>
      </c>
    </row>
    <row r="14" spans="1:5" ht="30">
      <c r="A14" s="8" t="s">
        <v>154</v>
      </c>
      <c r="B14" s="2" t="str">
        <f>INDEX(Sheet9!$A$3:$A$14,MATCH(MIN(Sheet9!$B$3:$B$14),Sheet9!$B$3:$B$14,0))</f>
        <v>Bottled Water</v>
      </c>
      <c r="C14" s="7" t="s">
        <v>172</v>
      </c>
    </row>
    <row r="15" spans="1:5">
      <c r="A15" s="5" t="s">
        <v>155</v>
      </c>
      <c r="B15" s="2" t="str">
        <f>INDEX(Sheet9!$A$3:$A$14,MATCH(MAX(Sheet9!$D$3:$D$14),Sheet9!$D$3:$D$14,0))</f>
        <v>Coffee</v>
      </c>
      <c r="C15" s="5" t="s">
        <v>125</v>
      </c>
      <c r="D15" s="2">
        <f>COUNTIFS('Cleaned Data'!H:H,"Transfer")</f>
        <v>26</v>
      </c>
    </row>
    <row r="16" spans="1:5">
      <c r="A16" s="5" t="s">
        <v>156</v>
      </c>
      <c r="B16" s="2" t="str">
        <f>INDEX(Sheet9!$A$3:$A$14,MATCH(MIN(Sheet9!$D$3:$D$14),Sheet9!$D$3:$D$14,0))</f>
        <v>Milk 1L</v>
      </c>
      <c r="C16" s="5" t="s">
        <v>126</v>
      </c>
      <c r="D16" s="2">
        <f>COUNTIFS('Cleaned Data'!H:H,"Cash")</f>
        <v>29</v>
      </c>
    </row>
    <row r="17" spans="1:4">
      <c r="C17" s="5" t="s">
        <v>127</v>
      </c>
      <c r="D17" s="2">
        <f>COUNTIFS('Cleaned Data'!H:H,"Card")</f>
        <v>20</v>
      </c>
    </row>
    <row r="18" spans="1:4">
      <c r="A18" s="3" t="s">
        <v>157</v>
      </c>
      <c r="C18" s="5" t="s">
        <v>128</v>
      </c>
      <c r="D18" s="2">
        <f>COUNTIFS('Cleaned Data'!H:H,"POS")</f>
        <v>24</v>
      </c>
    </row>
    <row r="19" spans="1:4">
      <c r="A19" s="5" t="s">
        <v>158</v>
      </c>
      <c r="B19" s="2" t="str">
        <f>INDEX($A$22:$A$27,MATCH(MAX($B$22:$B$27),$B$22:$B$27,0))</f>
        <v>Groceries</v>
      </c>
    </row>
    <row r="20" spans="1:4">
      <c r="A20" s="5" t="s">
        <v>169</v>
      </c>
      <c r="B20" s="2" t="str">
        <f>INDEX($A$22:$A$27,MATCH(MIN($B$22:$B$27),$B$22:$B$27,0))</f>
        <v>Bakery</v>
      </c>
    </row>
    <row r="21" spans="1:4">
      <c r="A21" s="5" t="s">
        <v>170</v>
      </c>
    </row>
    <row r="22" spans="1:4">
      <c r="A22" s="5" t="s">
        <v>119</v>
      </c>
      <c r="B22" s="2">
        <f>SUMIFS('Cleaned Data'!G$3:$G$101,'Cleaned Data'!$D$3:$D$101,$A22)</f>
        <v>273500</v>
      </c>
    </row>
    <row r="23" spans="1:4">
      <c r="A23" s="5" t="s">
        <v>120</v>
      </c>
      <c r="B23" s="2">
        <f>SUMIFS('Cleaned Data'!G$3:$G$101,'Cleaned Data'!$D$3:$D$101,$A23)</f>
        <v>57600</v>
      </c>
    </row>
    <row r="24" spans="1:4">
      <c r="A24" s="5" t="s">
        <v>121</v>
      </c>
      <c r="B24" s="2">
        <f>SUMIFS('Cleaned Data'!G$3:$G$101,'Cleaned Data'!$D$3:$D$101,$A24)</f>
        <v>363600</v>
      </c>
    </row>
    <row r="25" spans="1:4">
      <c r="A25" s="5" t="s">
        <v>124</v>
      </c>
      <c r="B25" s="2">
        <f>SUMIFS('Cleaned Data'!G$3:$G$101,'Cleaned Data'!$D$3:$D$101,$A25)</f>
        <v>71400</v>
      </c>
    </row>
    <row r="26" spans="1:4">
      <c r="A26" s="5" t="s">
        <v>123</v>
      </c>
      <c r="B26" s="2">
        <f>SUMIFS('Cleaned Data'!$G$3:$G$101,'Cleaned Data'!$D$3:$D$101,A26)</f>
        <v>160400</v>
      </c>
    </row>
    <row r="27" spans="1:4">
      <c r="A27" s="5" t="s">
        <v>122</v>
      </c>
      <c r="B27" s="2">
        <f>SUMIFS('Cleaned Data'!G$3:$G$101,'Cleaned Data'!$D$3:$D$101,$A27)</f>
        <v>87400</v>
      </c>
    </row>
    <row r="29" spans="1:4">
      <c r="A29" s="3" t="s">
        <v>159</v>
      </c>
    </row>
    <row r="30" spans="1:4">
      <c r="A30" s="5" t="s">
        <v>161</v>
      </c>
      <c r="B30" s="2">
        <f>SUMIFS('Cleaned Data'!$G$3:$G$101,'Cleaned Data'!$I$3:$I$101,"Regular")</f>
        <v>527200</v>
      </c>
    </row>
    <row r="31" spans="1:4">
      <c r="A31" s="5" t="s">
        <v>162</v>
      </c>
      <c r="B31" s="2">
        <f>SUMIFS('Cleaned Data'!$G$3:$G$101,'Cleaned Data'!$I$3:$I$101,"New")</f>
        <v>486700</v>
      </c>
    </row>
    <row r="32" spans="1:4" ht="30">
      <c r="A32" s="7" t="s">
        <v>160</v>
      </c>
      <c r="B32" s="2">
        <f>MAX(B30:B31)</f>
        <v>527200</v>
      </c>
    </row>
  </sheetData>
  <pageMargins left="0.7" right="0.7" top="0.75" bottom="0.75" header="0.3" footer="0.3"/>
  <pageSetup scale="73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>
      <selection activeCell="F12" sqref="F12"/>
    </sheetView>
  </sheetViews>
  <sheetFormatPr defaultRowHeight="15"/>
  <cols>
    <col min="1" max="1" width="24.140625" bestFit="1" customWidth="1"/>
    <col min="2" max="4" width="11" customWidth="1"/>
    <col min="5" max="5" width="22.5703125" bestFit="1" customWidth="1"/>
  </cols>
  <sheetData>
    <row r="1" spans="1:5" s="2" customFormat="1">
      <c r="A1" s="3" t="s">
        <v>174</v>
      </c>
      <c r="B1" s="2" t="s">
        <v>135</v>
      </c>
      <c r="C1" s="2" t="s">
        <v>136</v>
      </c>
      <c r="D1" s="2" t="s">
        <v>137</v>
      </c>
      <c r="E1" s="2" t="s">
        <v>138</v>
      </c>
    </row>
    <row r="2" spans="1:5" s="2" customFormat="1">
      <c r="A2" s="3" t="s">
        <v>182</v>
      </c>
      <c r="E2"/>
    </row>
    <row r="3" spans="1:5">
      <c r="A3" t="s">
        <v>175</v>
      </c>
      <c r="B3" s="2">
        <f>SUMIFS('Cleaned Data'!G:G,'Cleaned Data'!K:K,$A3)</f>
        <v>289600</v>
      </c>
    </row>
    <row r="4" spans="1:5">
      <c r="A4" t="s">
        <v>176</v>
      </c>
      <c r="B4" s="2">
        <f>SUMIFS('Cleaned Data'!G:G,'Cleaned Data'!K:K,$A4)</f>
        <v>170700</v>
      </c>
    </row>
    <row r="5" spans="1:5">
      <c r="A5" t="s">
        <v>177</v>
      </c>
      <c r="B5" s="2">
        <f>SUMIFS('Cleaned Data'!G:G,'Cleaned Data'!K:K,$A5)</f>
        <v>159200</v>
      </c>
    </row>
    <row r="6" spans="1:5">
      <c r="A6" t="s">
        <v>178</v>
      </c>
      <c r="B6" s="2">
        <f>SUMIFS('Cleaned Data'!G:G,'Cleaned Data'!K:K,$A6)</f>
        <v>224500</v>
      </c>
    </row>
    <row r="7" spans="1:5">
      <c r="A7" t="s">
        <v>179</v>
      </c>
      <c r="B7" s="2">
        <f>SUMIFS('Cleaned Data'!G:G,'Cleaned Data'!K:K,$A7)</f>
        <v>169900</v>
      </c>
    </row>
    <row r="9" spans="1:5">
      <c r="A9" s="3" t="s">
        <v>183</v>
      </c>
      <c r="E9" s="3" t="s">
        <v>198</v>
      </c>
    </row>
    <row r="10" spans="1:5">
      <c r="A10" t="str">
        <f>$A3</f>
        <v>January</v>
      </c>
      <c r="B10" s="2">
        <f>SUMIFS('Cleaned Data'!E:E,'Cleaned Data'!K:K,$A3)</f>
        <v>67</v>
      </c>
      <c r="E10" s="5" t="str">
        <f>INDEX(A3:A7,MATCH(MAX(B3:B7),B3:B7,0))</f>
        <v>January</v>
      </c>
    </row>
    <row r="11" spans="1:5">
      <c r="A11" t="str">
        <f t="shared" ref="A11:A14" si="0">$A4</f>
        <v>February</v>
      </c>
      <c r="B11" s="2">
        <f>SUMIFS('Cleaned Data'!E:E,'Cleaned Data'!K:K,$A4)</f>
        <v>62</v>
      </c>
      <c r="E11" s="3" t="s">
        <v>185</v>
      </c>
    </row>
    <row r="12" spans="1:5">
      <c r="A12" t="str">
        <f t="shared" si="0"/>
        <v>March</v>
      </c>
      <c r="B12" s="2">
        <f>SUMIFS('Cleaned Data'!E:E,'Cleaned Data'!K:K,$A5)</f>
        <v>56</v>
      </c>
      <c r="E12" s="5" t="str">
        <f>INDEX(A3:A7,MATCH(MIN(B3:B7),B3:B7,0))</f>
        <v>March</v>
      </c>
    </row>
    <row r="13" spans="1:5">
      <c r="A13" t="str">
        <f t="shared" si="0"/>
        <v>April</v>
      </c>
      <c r="B13" s="2">
        <f>SUMIFS('Cleaned Data'!E:E,'Cleaned Data'!K:K,$A6)</f>
        <v>85</v>
      </c>
    </row>
    <row r="14" spans="1:5">
      <c r="A14" t="str">
        <f t="shared" si="0"/>
        <v>May</v>
      </c>
      <c r="B14" s="2">
        <f>SUMIFS('Cleaned Data'!E:E,'Cleaned Data'!K:K,$A7)</f>
        <v>50</v>
      </c>
    </row>
    <row r="16" spans="1:5" ht="30">
      <c r="A16" s="13" t="s">
        <v>184</v>
      </c>
    </row>
    <row r="17" spans="1:2">
      <c r="A17" t="str">
        <f>$A3</f>
        <v>January</v>
      </c>
      <c r="B17" s="2">
        <f>COUNTIFS('Cleaned Data'!K:K,$A17)</f>
        <v>16</v>
      </c>
    </row>
    <row r="18" spans="1:2">
      <c r="A18" t="str">
        <f t="shared" ref="A18:A21" si="1">$A4</f>
        <v>February</v>
      </c>
      <c r="B18" s="2">
        <f>COUNTIFS('Cleaned Data'!K:K,$A18)</f>
        <v>19</v>
      </c>
    </row>
    <row r="19" spans="1:2">
      <c r="A19" t="str">
        <f t="shared" si="1"/>
        <v>March</v>
      </c>
      <c r="B19" s="2">
        <f>COUNTIFS('Cleaned Data'!K:K,$A19)</f>
        <v>19</v>
      </c>
    </row>
    <row r="20" spans="1:2">
      <c r="A20" t="str">
        <f t="shared" si="1"/>
        <v>April</v>
      </c>
      <c r="B20" s="2">
        <f>COUNTIFS('Cleaned Data'!K:K,$A20)</f>
        <v>28</v>
      </c>
    </row>
    <row r="21" spans="1:2">
      <c r="A21" t="str">
        <f t="shared" si="1"/>
        <v>May</v>
      </c>
      <c r="B21" s="2">
        <f>COUNTIFS('Cleaned Data'!K:K,$A21)</f>
        <v>17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A105"/>
  <sheetViews>
    <sheetView topLeftCell="A98" zoomScale="110" zoomScaleNormal="110" workbookViewId="0">
      <selection activeCell="J116" sqref="J116"/>
    </sheetView>
  </sheetViews>
  <sheetFormatPr defaultRowHeight="15"/>
  <cols>
    <col min="1" max="1" width="13.140625" customWidth="1"/>
    <col min="2" max="2" width="17.140625" customWidth="1"/>
    <col min="3" max="3" width="13.7109375" customWidth="1"/>
    <col min="4" max="4" width="6.140625" customWidth="1"/>
    <col min="5" max="5" width="7" customWidth="1"/>
    <col min="6" max="6" width="8.7109375" customWidth="1"/>
    <col min="7" max="7" width="18" customWidth="1"/>
    <col min="8" max="8" width="7.28515625" customWidth="1"/>
    <col min="9" max="9" width="12.28515625" customWidth="1"/>
    <col min="10" max="10" width="8" customWidth="1"/>
    <col min="11" max="11" width="8.140625" customWidth="1"/>
    <col min="12" max="12" width="9.85546875" bestFit="1" customWidth="1"/>
    <col min="13" max="13" width="15.5703125" bestFit="1" customWidth="1"/>
    <col min="14" max="14" width="13.140625" customWidth="1"/>
    <col min="15" max="15" width="15.7109375" customWidth="1"/>
    <col min="25" max="25" width="17.7109375" bestFit="1" customWidth="1"/>
    <col min="26" max="26" width="22.42578125" bestFit="1" customWidth="1"/>
  </cols>
  <sheetData>
    <row r="1" spans="1:27">
      <c r="A1" s="2" t="s">
        <v>174</v>
      </c>
      <c r="N1" s="2" t="s">
        <v>191</v>
      </c>
    </row>
    <row r="2" spans="1:27">
      <c r="A2" s="23" t="s">
        <v>186</v>
      </c>
      <c r="B2" t="s">
        <v>188</v>
      </c>
      <c r="E2" s="23" t="s">
        <v>186</v>
      </c>
      <c r="F2" t="s">
        <v>196</v>
      </c>
      <c r="N2" s="14"/>
      <c r="O2" s="15"/>
      <c r="P2" s="16"/>
    </row>
    <row r="3" spans="1:27">
      <c r="A3" s="24" t="s">
        <v>175</v>
      </c>
      <c r="B3" s="25">
        <v>16</v>
      </c>
      <c r="E3" s="24" t="s">
        <v>116</v>
      </c>
      <c r="F3" s="25">
        <v>40800</v>
      </c>
      <c r="N3" s="17"/>
      <c r="O3" s="18"/>
      <c r="P3" s="19"/>
    </row>
    <row r="4" spans="1:27">
      <c r="A4" s="24" t="s">
        <v>176</v>
      </c>
      <c r="B4" s="25">
        <v>19</v>
      </c>
      <c r="E4" s="24" t="s">
        <v>113</v>
      </c>
      <c r="F4" s="25">
        <v>9000</v>
      </c>
      <c r="H4" s="23" t="s">
        <v>204</v>
      </c>
      <c r="N4" s="17"/>
      <c r="O4" s="18"/>
      <c r="P4" s="19"/>
    </row>
    <row r="5" spans="1:27">
      <c r="A5" s="24" t="s">
        <v>177</v>
      </c>
      <c r="B5" s="25">
        <v>19</v>
      </c>
      <c r="E5" s="24" t="s">
        <v>108</v>
      </c>
      <c r="F5" s="25">
        <v>57600</v>
      </c>
      <c r="G5" s="23" t="s">
        <v>186</v>
      </c>
      <c r="H5" t="s">
        <v>203</v>
      </c>
      <c r="I5" t="s">
        <v>205</v>
      </c>
      <c r="N5" s="17"/>
      <c r="O5" s="18"/>
      <c r="P5" s="19"/>
    </row>
    <row r="6" spans="1:27">
      <c r="A6" s="24" t="s">
        <v>178</v>
      </c>
      <c r="B6" s="25">
        <v>28</v>
      </c>
      <c r="E6" s="24" t="s">
        <v>107</v>
      </c>
      <c r="F6" s="25">
        <v>229500</v>
      </c>
      <c r="G6" s="24" t="s">
        <v>116</v>
      </c>
      <c r="H6" s="25">
        <v>34</v>
      </c>
      <c r="I6" s="25">
        <v>11</v>
      </c>
      <c r="N6" s="17"/>
      <c r="O6" s="18"/>
      <c r="P6" s="19"/>
    </row>
    <row r="7" spans="1:27">
      <c r="A7" s="24" t="s">
        <v>179</v>
      </c>
      <c r="B7" s="25">
        <v>17</v>
      </c>
      <c r="E7" s="24" t="s">
        <v>114</v>
      </c>
      <c r="F7" s="25">
        <v>96600</v>
      </c>
      <c r="G7" s="24" t="s">
        <v>113</v>
      </c>
      <c r="H7" s="25">
        <v>18</v>
      </c>
      <c r="I7" s="25">
        <v>4</v>
      </c>
      <c r="N7" s="17"/>
      <c r="O7" s="18"/>
      <c r="P7" s="19"/>
      <c r="Y7" s="14"/>
      <c r="Z7" s="15"/>
      <c r="AA7" s="16"/>
    </row>
    <row r="8" spans="1:27">
      <c r="A8" s="24" t="s">
        <v>187</v>
      </c>
      <c r="B8" s="25">
        <v>99</v>
      </c>
      <c r="E8" s="24" t="s">
        <v>187</v>
      </c>
      <c r="F8" s="25">
        <v>1013900</v>
      </c>
      <c r="G8" s="24" t="s">
        <v>108</v>
      </c>
      <c r="H8" s="25">
        <v>32</v>
      </c>
      <c r="I8" s="25">
        <v>11</v>
      </c>
      <c r="N8" s="17"/>
      <c r="O8" s="18"/>
      <c r="P8" s="19"/>
      <c r="Y8" s="17"/>
      <c r="Z8" s="18"/>
      <c r="AA8" s="19"/>
    </row>
    <row r="9" spans="1:27">
      <c r="E9" s="24" t="s">
        <v>110</v>
      </c>
      <c r="F9" s="25">
        <v>87400</v>
      </c>
      <c r="G9" s="24" t="s">
        <v>107</v>
      </c>
      <c r="H9" s="25">
        <v>50</v>
      </c>
      <c r="I9" s="25">
        <v>13</v>
      </c>
      <c r="N9" s="17"/>
      <c r="O9" s="18"/>
      <c r="P9" s="19"/>
      <c r="R9" s="14"/>
      <c r="S9" s="15"/>
      <c r="T9" s="16"/>
      <c r="Y9" s="17"/>
      <c r="Z9" s="18"/>
      <c r="AA9" s="19"/>
    </row>
    <row r="10" spans="1:27">
      <c r="E10" s="24" t="s">
        <v>118</v>
      </c>
      <c r="F10" s="25">
        <v>30800</v>
      </c>
      <c r="G10" s="24" t="s">
        <v>114</v>
      </c>
      <c r="H10" s="25">
        <v>23</v>
      </c>
      <c r="I10" s="25">
        <v>8</v>
      </c>
      <c r="N10" s="17"/>
      <c r="O10" s="18"/>
      <c r="P10" s="19"/>
      <c r="R10" s="17"/>
      <c r="S10" s="18"/>
      <c r="T10" s="19"/>
      <c r="Y10" s="17"/>
      <c r="Z10" s="18"/>
      <c r="AA10" s="19"/>
    </row>
    <row r="11" spans="1:27">
      <c r="E11" s="24" t="s">
        <v>115</v>
      </c>
      <c r="F11" s="25">
        <v>30600</v>
      </c>
      <c r="G11" s="24" t="s">
        <v>110</v>
      </c>
      <c r="H11" s="25">
        <v>23</v>
      </c>
      <c r="I11" s="25">
        <v>6</v>
      </c>
      <c r="N11" s="17"/>
      <c r="O11" s="18"/>
      <c r="P11" s="19"/>
      <c r="R11" s="17"/>
      <c r="S11" s="18"/>
      <c r="T11" s="19"/>
      <c r="Y11" s="17"/>
      <c r="Z11" s="18"/>
      <c r="AA11" s="19"/>
    </row>
    <row r="12" spans="1:27">
      <c r="E12" s="24" t="s">
        <v>109</v>
      </c>
      <c r="F12" s="25">
        <v>306000</v>
      </c>
      <c r="G12" s="24" t="s">
        <v>118</v>
      </c>
      <c r="H12" s="25">
        <v>11</v>
      </c>
      <c r="I12" s="25">
        <v>5</v>
      </c>
      <c r="N12" s="17"/>
      <c r="O12" s="18"/>
      <c r="P12" s="19"/>
      <c r="R12" s="17"/>
      <c r="S12" s="18"/>
      <c r="T12" s="19"/>
      <c r="Y12" s="17"/>
      <c r="Z12" s="18"/>
      <c r="AA12" s="19"/>
    </row>
    <row r="13" spans="1:27">
      <c r="E13" s="24" t="s">
        <v>112</v>
      </c>
      <c r="F13" s="25">
        <v>35000</v>
      </c>
      <c r="G13" s="24" t="s">
        <v>115</v>
      </c>
      <c r="H13" s="25">
        <v>17</v>
      </c>
      <c r="I13" s="25">
        <v>7</v>
      </c>
      <c r="N13" s="17"/>
      <c r="O13" s="18"/>
      <c r="P13" s="19"/>
      <c r="R13" s="17"/>
      <c r="S13" s="18"/>
      <c r="T13" s="19"/>
      <c r="Y13" s="17"/>
      <c r="Z13" s="18"/>
      <c r="AA13" s="19"/>
    </row>
    <row r="14" spans="1:27">
      <c r="A14" s="2" t="s">
        <v>192</v>
      </c>
      <c r="E14" s="24" t="s">
        <v>111</v>
      </c>
      <c r="F14" s="25">
        <v>57600</v>
      </c>
      <c r="G14" s="24" t="s">
        <v>109</v>
      </c>
      <c r="H14" s="25">
        <v>36</v>
      </c>
      <c r="I14" s="25">
        <v>11</v>
      </c>
      <c r="N14" s="17"/>
      <c r="O14" s="18"/>
      <c r="P14" s="19"/>
      <c r="R14" s="17"/>
      <c r="S14" s="18"/>
      <c r="T14" s="19"/>
      <c r="Y14" s="17"/>
      <c r="Z14" s="18"/>
      <c r="AA14" s="19"/>
    </row>
    <row r="15" spans="1:27">
      <c r="A15" s="23" t="s">
        <v>186</v>
      </c>
      <c r="B15" t="s">
        <v>188</v>
      </c>
      <c r="E15" s="24" t="s">
        <v>117</v>
      </c>
      <c r="F15" s="25">
        <v>33000</v>
      </c>
      <c r="G15" s="24" t="s">
        <v>112</v>
      </c>
      <c r="H15" s="25">
        <v>35</v>
      </c>
      <c r="I15" s="25">
        <v>10</v>
      </c>
      <c r="N15" s="17"/>
      <c r="O15" s="18"/>
      <c r="P15" s="19"/>
      <c r="R15" s="17"/>
      <c r="S15" s="18"/>
      <c r="T15" s="19"/>
      <c r="Y15" s="17"/>
      <c r="Z15" s="18"/>
      <c r="AA15" s="19"/>
    </row>
    <row r="16" spans="1:27">
      <c r="A16" s="24" t="s">
        <v>120</v>
      </c>
      <c r="B16" s="25">
        <v>11</v>
      </c>
      <c r="E16" s="24" t="s">
        <v>187</v>
      </c>
      <c r="F16" s="25">
        <v>2027800</v>
      </c>
      <c r="G16" s="24" t="s">
        <v>111</v>
      </c>
      <c r="H16" s="25">
        <v>18</v>
      </c>
      <c r="I16" s="25">
        <v>5</v>
      </c>
      <c r="N16" s="17"/>
      <c r="O16" s="18"/>
      <c r="P16" s="19"/>
      <c r="R16" s="17"/>
      <c r="S16" s="18"/>
      <c r="T16" s="19"/>
      <c r="Y16" s="17"/>
      <c r="Z16" s="18"/>
      <c r="AA16" s="19"/>
    </row>
    <row r="17" spans="1:27">
      <c r="A17" s="24" t="s">
        <v>119</v>
      </c>
      <c r="B17" s="25">
        <v>28</v>
      </c>
      <c r="G17" s="24" t="s">
        <v>117</v>
      </c>
      <c r="H17" s="25">
        <v>22</v>
      </c>
      <c r="I17" s="25">
        <v>7</v>
      </c>
      <c r="N17" s="17"/>
      <c r="O17" s="18"/>
      <c r="P17" s="19"/>
      <c r="R17" s="17"/>
      <c r="S17" s="18"/>
      <c r="T17" s="19"/>
      <c r="Y17" s="17"/>
      <c r="Z17" s="18"/>
      <c r="AA17" s="19"/>
    </row>
    <row r="18" spans="1:27">
      <c r="A18" s="24" t="s">
        <v>123</v>
      </c>
      <c r="B18" s="25">
        <v>20</v>
      </c>
      <c r="E18" s="23" t="s">
        <v>186</v>
      </c>
      <c r="F18" t="s">
        <v>196</v>
      </c>
      <c r="G18" s="24" t="s">
        <v>187</v>
      </c>
      <c r="H18" s="25">
        <v>319</v>
      </c>
      <c r="I18" s="25">
        <v>98</v>
      </c>
      <c r="N18" s="17"/>
      <c r="O18" s="18"/>
      <c r="P18" s="19"/>
      <c r="R18" s="17"/>
      <c r="S18" s="18"/>
      <c r="T18" s="19"/>
      <c r="Y18" s="17"/>
      <c r="Z18" s="18"/>
      <c r="AA18" s="19"/>
    </row>
    <row r="19" spans="1:27">
      <c r="A19" s="24" t="s">
        <v>121</v>
      </c>
      <c r="B19" s="25">
        <v>16</v>
      </c>
      <c r="E19" s="24" t="s">
        <v>116</v>
      </c>
      <c r="F19" s="25">
        <v>40800</v>
      </c>
      <c r="N19" s="20"/>
      <c r="O19" s="21"/>
      <c r="P19" s="22"/>
      <c r="R19" s="17"/>
      <c r="S19" s="18"/>
      <c r="T19" s="19"/>
      <c r="Y19" s="17"/>
      <c r="Z19" s="18"/>
      <c r="AA19" s="19"/>
    </row>
    <row r="20" spans="1:27">
      <c r="A20" s="24" t="s">
        <v>122</v>
      </c>
      <c r="B20" s="25">
        <v>6</v>
      </c>
      <c r="E20" s="24" t="s">
        <v>113</v>
      </c>
      <c r="F20" s="25">
        <v>9000</v>
      </c>
      <c r="N20" s="2" t="s">
        <v>193</v>
      </c>
      <c r="R20" s="17"/>
      <c r="S20" s="18"/>
      <c r="T20" s="19"/>
      <c r="Y20" s="17"/>
      <c r="Z20" s="18"/>
      <c r="AA20" s="19"/>
    </row>
    <row r="21" spans="1:27">
      <c r="A21" s="24" t="s">
        <v>124</v>
      </c>
      <c r="B21" s="25">
        <v>18</v>
      </c>
      <c r="E21" s="24" t="s">
        <v>108</v>
      </c>
      <c r="F21" s="25">
        <v>57600</v>
      </c>
      <c r="N21" s="23" t="s">
        <v>186</v>
      </c>
      <c r="O21" t="s">
        <v>189</v>
      </c>
      <c r="R21" s="17"/>
      <c r="S21" s="18"/>
      <c r="T21" s="19"/>
      <c r="Y21" s="17"/>
      <c r="Z21" s="18"/>
      <c r="AA21" s="19"/>
    </row>
    <row r="22" spans="1:27">
      <c r="A22" s="24" t="s">
        <v>187</v>
      </c>
      <c r="B22" s="25">
        <v>99</v>
      </c>
      <c r="E22" s="24" t="s">
        <v>107</v>
      </c>
      <c r="F22" s="25">
        <v>229500</v>
      </c>
      <c r="N22" s="24" t="s">
        <v>131</v>
      </c>
      <c r="O22" s="25">
        <v>293900</v>
      </c>
      <c r="R22" s="17"/>
      <c r="S22" s="18"/>
      <c r="T22" s="19"/>
      <c r="Y22" s="17"/>
      <c r="Z22" s="18"/>
      <c r="AA22" s="19"/>
    </row>
    <row r="23" spans="1:27">
      <c r="E23" s="24" t="s">
        <v>114</v>
      </c>
      <c r="F23" s="25">
        <v>96600</v>
      </c>
      <c r="N23" s="24" t="s">
        <v>134</v>
      </c>
      <c r="O23" s="25">
        <v>202100</v>
      </c>
      <c r="R23" s="17"/>
      <c r="S23" s="18"/>
      <c r="T23" s="19"/>
      <c r="Y23" s="17"/>
      <c r="Z23" s="18"/>
      <c r="AA23" s="19"/>
    </row>
    <row r="24" spans="1:27">
      <c r="E24" s="24" t="s">
        <v>110</v>
      </c>
      <c r="F24" s="25">
        <v>87400</v>
      </c>
      <c r="N24" s="24" t="s">
        <v>132</v>
      </c>
      <c r="O24" s="25">
        <v>308500</v>
      </c>
      <c r="R24" s="17"/>
      <c r="S24" s="18"/>
      <c r="T24" s="19"/>
      <c r="Y24" s="20"/>
      <c r="Z24" s="21"/>
      <c r="AA24" s="22"/>
    </row>
    <row r="25" spans="1:27">
      <c r="E25" s="24" t="s">
        <v>118</v>
      </c>
      <c r="F25" s="25">
        <v>30800</v>
      </c>
      <c r="N25" s="24" t="s">
        <v>133</v>
      </c>
      <c r="O25" s="25">
        <v>209400</v>
      </c>
      <c r="R25" s="17"/>
      <c r="S25" s="18"/>
      <c r="T25" s="19"/>
    </row>
    <row r="26" spans="1:27">
      <c r="E26" s="24" t="s">
        <v>115</v>
      </c>
      <c r="F26" s="25">
        <v>30600</v>
      </c>
      <c r="N26" s="24" t="s">
        <v>187</v>
      </c>
      <c r="O26" s="25">
        <v>1013900</v>
      </c>
      <c r="R26" s="20"/>
      <c r="S26" s="21"/>
      <c r="T26" s="22"/>
    </row>
    <row r="27" spans="1:27">
      <c r="E27" s="24" t="s">
        <v>109</v>
      </c>
      <c r="F27" s="25">
        <v>306000</v>
      </c>
    </row>
    <row r="28" spans="1:27">
      <c r="E28" s="24" t="s">
        <v>112</v>
      </c>
      <c r="F28" s="25">
        <v>35000</v>
      </c>
    </row>
    <row r="29" spans="1:27">
      <c r="E29" s="24" t="s">
        <v>111</v>
      </c>
      <c r="F29" s="25">
        <v>57600</v>
      </c>
    </row>
    <row r="30" spans="1:27">
      <c r="E30" s="24" t="s">
        <v>117</v>
      </c>
      <c r="F30" s="25">
        <v>33000</v>
      </c>
    </row>
    <row r="31" spans="1:27">
      <c r="E31" s="24" t="s">
        <v>187</v>
      </c>
      <c r="F31" s="25">
        <v>1013900</v>
      </c>
    </row>
    <row r="33" spans="14:15">
      <c r="N33" s="23" t="s">
        <v>186</v>
      </c>
      <c r="O33" t="s">
        <v>196</v>
      </c>
    </row>
    <row r="34" spans="14:15">
      <c r="N34" s="24" t="s">
        <v>131</v>
      </c>
      <c r="O34" s="25">
        <v>293900</v>
      </c>
    </row>
    <row r="35" spans="14:15">
      <c r="N35" s="24" t="s">
        <v>134</v>
      </c>
      <c r="O35" s="25">
        <v>202100</v>
      </c>
    </row>
    <row r="36" spans="14:15">
      <c r="N36" s="24" t="s">
        <v>132</v>
      </c>
      <c r="O36" s="25">
        <v>308500</v>
      </c>
    </row>
    <row r="37" spans="14:15">
      <c r="N37" s="24" t="s">
        <v>133</v>
      </c>
      <c r="O37" s="25">
        <v>209400</v>
      </c>
    </row>
    <row r="38" spans="14:15">
      <c r="N38" s="24" t="s">
        <v>187</v>
      </c>
      <c r="O38" s="25">
        <v>1013900</v>
      </c>
    </row>
    <row r="98" spans="1:15">
      <c r="A98" s="23" t="s">
        <v>206</v>
      </c>
      <c r="B98" s="23" t="s">
        <v>207</v>
      </c>
    </row>
    <row r="99" spans="1:15">
      <c r="A99" s="23" t="s">
        <v>186</v>
      </c>
      <c r="B99" t="s">
        <v>116</v>
      </c>
      <c r="C99" t="s">
        <v>113</v>
      </c>
      <c r="D99" t="s">
        <v>108</v>
      </c>
      <c r="E99" t="s">
        <v>107</v>
      </c>
      <c r="F99" t="s">
        <v>114</v>
      </c>
      <c r="G99" t="s">
        <v>110</v>
      </c>
      <c r="H99" t="s">
        <v>118</v>
      </c>
      <c r="I99" t="s">
        <v>115</v>
      </c>
      <c r="J99" t="s">
        <v>1</v>
      </c>
      <c r="K99" t="s">
        <v>109</v>
      </c>
      <c r="L99" t="s">
        <v>112</v>
      </c>
      <c r="M99" t="s">
        <v>111</v>
      </c>
      <c r="N99" t="s">
        <v>117</v>
      </c>
      <c r="O99" t="s">
        <v>187</v>
      </c>
    </row>
    <row r="100" spans="1:15">
      <c r="A100" s="24" t="s">
        <v>8</v>
      </c>
      <c r="B100" s="25"/>
      <c r="C100" s="25"/>
      <c r="D100" s="25"/>
      <c r="E100" s="25"/>
      <c r="F100" s="25"/>
      <c r="G100" s="25"/>
      <c r="H100" s="25"/>
      <c r="I100" s="25"/>
      <c r="J100" s="25">
        <v>1</v>
      </c>
      <c r="K100" s="25"/>
      <c r="L100" s="25"/>
      <c r="M100" s="25"/>
      <c r="N100" s="25"/>
      <c r="O100" s="25">
        <v>1</v>
      </c>
    </row>
    <row r="101" spans="1:15">
      <c r="A101" s="24" t="s">
        <v>131</v>
      </c>
      <c r="B101" s="25">
        <v>3</v>
      </c>
      <c r="C101" s="25">
        <v>2</v>
      </c>
      <c r="D101" s="25"/>
      <c r="E101" s="25">
        <v>7</v>
      </c>
      <c r="F101" s="25">
        <v>2</v>
      </c>
      <c r="G101" s="25">
        <v>2</v>
      </c>
      <c r="H101" s="25">
        <v>1</v>
      </c>
      <c r="I101" s="25">
        <v>3</v>
      </c>
      <c r="J101" s="25"/>
      <c r="K101" s="25">
        <v>2</v>
      </c>
      <c r="L101" s="25">
        <v>3</v>
      </c>
      <c r="M101" s="25"/>
      <c r="N101" s="25">
        <v>2</v>
      </c>
      <c r="O101" s="25">
        <v>27</v>
      </c>
    </row>
    <row r="102" spans="1:15">
      <c r="A102" s="24" t="s">
        <v>134</v>
      </c>
      <c r="B102" s="25">
        <v>2</v>
      </c>
      <c r="C102" s="25">
        <v>2</v>
      </c>
      <c r="D102" s="25">
        <v>6</v>
      </c>
      <c r="E102" s="25">
        <v>2</v>
      </c>
      <c r="F102" s="25">
        <v>1</v>
      </c>
      <c r="G102" s="25">
        <v>1</v>
      </c>
      <c r="H102" s="25">
        <v>3</v>
      </c>
      <c r="I102" s="25"/>
      <c r="J102" s="25"/>
      <c r="K102" s="25">
        <v>2</v>
      </c>
      <c r="L102" s="25">
        <v>2</v>
      </c>
      <c r="M102" s="25">
        <v>4</v>
      </c>
      <c r="N102" s="25">
        <v>1</v>
      </c>
      <c r="O102" s="25">
        <v>26</v>
      </c>
    </row>
    <row r="103" spans="1:15">
      <c r="A103" s="24" t="s">
        <v>132</v>
      </c>
      <c r="B103" s="25">
        <v>5</v>
      </c>
      <c r="C103" s="25"/>
      <c r="D103" s="25">
        <v>2</v>
      </c>
      <c r="E103" s="25">
        <v>4</v>
      </c>
      <c r="F103" s="25">
        <v>1</v>
      </c>
      <c r="G103" s="25"/>
      <c r="H103" s="25">
        <v>1</v>
      </c>
      <c r="I103" s="25">
        <v>3</v>
      </c>
      <c r="J103" s="25"/>
      <c r="K103" s="25">
        <v>4</v>
      </c>
      <c r="L103" s="25">
        <v>1</v>
      </c>
      <c r="M103" s="25">
        <v>1</v>
      </c>
      <c r="N103" s="25">
        <v>3</v>
      </c>
      <c r="O103" s="25">
        <v>25</v>
      </c>
    </row>
    <row r="104" spans="1:15">
      <c r="A104" s="24" t="s">
        <v>133</v>
      </c>
      <c r="B104" s="25">
        <v>1</v>
      </c>
      <c r="C104" s="25"/>
      <c r="D104" s="25">
        <v>3</v>
      </c>
      <c r="E104" s="25">
        <v>1</v>
      </c>
      <c r="F104" s="25">
        <v>4</v>
      </c>
      <c r="G104" s="25">
        <v>3</v>
      </c>
      <c r="H104" s="25"/>
      <c r="I104" s="25">
        <v>1</v>
      </c>
      <c r="J104" s="25"/>
      <c r="K104" s="25">
        <v>3</v>
      </c>
      <c r="L104" s="25">
        <v>4</v>
      </c>
      <c r="M104" s="25"/>
      <c r="N104" s="25">
        <v>1</v>
      </c>
      <c r="O104" s="25">
        <v>21</v>
      </c>
    </row>
    <row r="105" spans="1:15">
      <c r="A105" s="24" t="s">
        <v>187</v>
      </c>
      <c r="B105" s="25">
        <v>11</v>
      </c>
      <c r="C105" s="25">
        <v>4</v>
      </c>
      <c r="D105" s="25">
        <v>11</v>
      </c>
      <c r="E105" s="25">
        <v>14</v>
      </c>
      <c r="F105" s="25">
        <v>8</v>
      </c>
      <c r="G105" s="25">
        <v>6</v>
      </c>
      <c r="H105" s="25">
        <v>5</v>
      </c>
      <c r="I105" s="25">
        <v>7</v>
      </c>
      <c r="J105" s="25">
        <v>1</v>
      </c>
      <c r="K105" s="25">
        <v>11</v>
      </c>
      <c r="L105" s="25">
        <v>10</v>
      </c>
      <c r="M105" s="25">
        <v>5</v>
      </c>
      <c r="N105" s="25">
        <v>7</v>
      </c>
      <c r="O105" s="25">
        <v>100</v>
      </c>
    </row>
  </sheetData>
  <pageMargins left="0.7" right="0.7" top="0.75" bottom="0.75" header="0.3" footer="0.3"/>
  <drawing r:id="rId12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0"/>
  <sheetViews>
    <sheetView workbookViewId="0">
      <selection activeCell="F1" sqref="F1"/>
    </sheetView>
  </sheetViews>
  <sheetFormatPr defaultRowHeight="15"/>
  <cols>
    <col min="1" max="1" width="20" bestFit="1" customWidth="1"/>
    <col min="2" max="2" width="15.5703125" customWidth="1"/>
    <col min="5" max="5" width="13.140625" customWidth="1"/>
    <col min="6" max="6" width="15.5703125" customWidth="1"/>
    <col min="9" max="9" width="17.7109375" bestFit="1" customWidth="1"/>
    <col min="10" max="10" width="12.5703125" bestFit="1" customWidth="1"/>
  </cols>
  <sheetData>
    <row r="1" spans="1:11">
      <c r="D1" s="26" t="s">
        <v>190</v>
      </c>
    </row>
    <row r="2" spans="1:11">
      <c r="A2" s="2" t="s">
        <v>191</v>
      </c>
      <c r="E2" s="2" t="s">
        <v>193</v>
      </c>
    </row>
    <row r="3" spans="1:11">
      <c r="A3" s="23" t="s">
        <v>186</v>
      </c>
      <c r="B3" t="s">
        <v>189</v>
      </c>
      <c r="E3" s="23" t="s">
        <v>186</v>
      </c>
      <c r="F3" t="s">
        <v>189</v>
      </c>
      <c r="I3" s="14"/>
      <c r="J3" s="15"/>
      <c r="K3" s="16"/>
    </row>
    <row r="4" spans="1:11">
      <c r="A4" s="24" t="s">
        <v>113</v>
      </c>
      <c r="B4" s="25">
        <v>9000</v>
      </c>
      <c r="E4" s="24" t="s">
        <v>134</v>
      </c>
      <c r="F4" s="25">
        <v>202100</v>
      </c>
      <c r="I4" s="17"/>
      <c r="K4" s="19"/>
    </row>
    <row r="5" spans="1:11">
      <c r="A5" s="24" t="s">
        <v>115</v>
      </c>
      <c r="B5" s="25">
        <v>30600</v>
      </c>
      <c r="E5" s="24" t="s">
        <v>133</v>
      </c>
      <c r="F5" s="25">
        <v>209400</v>
      </c>
      <c r="I5" s="17"/>
      <c r="J5" s="18"/>
      <c r="K5" s="19"/>
    </row>
    <row r="6" spans="1:11">
      <c r="A6" s="24" t="s">
        <v>118</v>
      </c>
      <c r="B6" s="25">
        <v>30800</v>
      </c>
      <c r="E6" s="24" t="s">
        <v>131</v>
      </c>
      <c r="F6" s="25">
        <v>293900</v>
      </c>
      <c r="I6" s="17"/>
      <c r="J6" s="18"/>
      <c r="K6" s="19"/>
    </row>
    <row r="7" spans="1:11">
      <c r="A7" s="24" t="s">
        <v>117</v>
      </c>
      <c r="B7" s="25">
        <v>33000</v>
      </c>
      <c r="E7" s="24" t="s">
        <v>132</v>
      </c>
      <c r="F7" s="25">
        <v>308500</v>
      </c>
      <c r="I7" s="17"/>
      <c r="J7" s="18"/>
      <c r="K7" s="19"/>
    </row>
    <row r="8" spans="1:11">
      <c r="A8" s="24" t="s">
        <v>112</v>
      </c>
      <c r="B8" s="25">
        <v>35000</v>
      </c>
      <c r="E8" s="24" t="s">
        <v>187</v>
      </c>
      <c r="F8" s="25">
        <v>1013900</v>
      </c>
      <c r="I8" s="17"/>
      <c r="J8" s="18"/>
      <c r="K8" s="19"/>
    </row>
    <row r="9" spans="1:11">
      <c r="A9" s="24" t="s">
        <v>116</v>
      </c>
      <c r="B9" s="25">
        <v>40800</v>
      </c>
      <c r="I9" s="17"/>
      <c r="J9" s="18"/>
      <c r="K9" s="19"/>
    </row>
    <row r="10" spans="1:11">
      <c r="A10" s="24" t="s">
        <v>108</v>
      </c>
      <c r="B10" s="25">
        <v>57600</v>
      </c>
      <c r="I10" s="17"/>
      <c r="J10" s="18"/>
      <c r="K10" s="19"/>
    </row>
    <row r="11" spans="1:11">
      <c r="A11" s="24" t="s">
        <v>111</v>
      </c>
      <c r="B11" s="25">
        <v>57600</v>
      </c>
      <c r="I11" s="17"/>
      <c r="J11" s="18"/>
      <c r="K11" s="19"/>
    </row>
    <row r="12" spans="1:11">
      <c r="A12" s="24" t="s">
        <v>110</v>
      </c>
      <c r="B12" s="25">
        <v>87400</v>
      </c>
      <c r="I12" s="17"/>
      <c r="J12" s="18"/>
      <c r="K12" s="19"/>
    </row>
    <row r="13" spans="1:11">
      <c r="A13" s="24" t="s">
        <v>114</v>
      </c>
      <c r="B13" s="25">
        <v>96600</v>
      </c>
      <c r="E13" s="27" t="s">
        <v>7</v>
      </c>
      <c r="I13" s="17"/>
      <c r="J13" s="18"/>
      <c r="K13" s="19"/>
    </row>
    <row r="14" spans="1:11">
      <c r="A14" s="24" t="s">
        <v>107</v>
      </c>
      <c r="B14" s="25">
        <v>229500</v>
      </c>
      <c r="E14" s="23" t="s">
        <v>186</v>
      </c>
      <c r="F14" t="s">
        <v>189</v>
      </c>
      <c r="I14" s="17"/>
      <c r="J14" s="18"/>
      <c r="K14" s="19"/>
    </row>
    <row r="15" spans="1:11">
      <c r="A15" s="24" t="s">
        <v>109</v>
      </c>
      <c r="B15" s="25">
        <v>306000</v>
      </c>
      <c r="E15" s="24" t="s">
        <v>130</v>
      </c>
      <c r="F15" s="25">
        <v>486700</v>
      </c>
      <c r="I15" s="17"/>
      <c r="J15" s="18"/>
      <c r="K15" s="19"/>
    </row>
    <row r="16" spans="1:11">
      <c r="A16" s="24" t="s">
        <v>187</v>
      </c>
      <c r="B16" s="25">
        <v>1013900</v>
      </c>
      <c r="E16" s="24" t="s">
        <v>129</v>
      </c>
      <c r="F16" s="25">
        <v>527200</v>
      </c>
      <c r="I16" s="17"/>
      <c r="J16" s="18"/>
      <c r="K16" s="19"/>
    </row>
    <row r="17" spans="1:11">
      <c r="E17" s="24" t="s">
        <v>187</v>
      </c>
      <c r="F17" s="25">
        <v>1013900</v>
      </c>
      <c r="I17" s="17"/>
      <c r="J17" s="18"/>
      <c r="K17" s="19"/>
    </row>
    <row r="18" spans="1:11">
      <c r="I18" s="17"/>
      <c r="J18" s="18"/>
      <c r="K18" s="19"/>
    </row>
    <row r="19" spans="1:11">
      <c r="I19" s="17"/>
      <c r="J19" s="18"/>
      <c r="K19" s="19"/>
    </row>
    <row r="20" spans="1:11">
      <c r="I20" s="20"/>
      <c r="J20" s="21"/>
      <c r="K20" s="22"/>
    </row>
    <row r="22" spans="1:11">
      <c r="A22" s="27" t="s">
        <v>192</v>
      </c>
      <c r="E22" s="27" t="s">
        <v>174</v>
      </c>
    </row>
    <row r="23" spans="1:11">
      <c r="A23" s="23" t="s">
        <v>186</v>
      </c>
      <c r="B23" t="s">
        <v>189</v>
      </c>
      <c r="E23" s="23" t="s">
        <v>186</v>
      </c>
      <c r="F23" t="s">
        <v>189</v>
      </c>
    </row>
    <row r="24" spans="1:11">
      <c r="A24" s="24" t="s">
        <v>120</v>
      </c>
      <c r="B24" s="25">
        <v>57600</v>
      </c>
      <c r="E24" s="24" t="s">
        <v>177</v>
      </c>
      <c r="F24" s="25">
        <v>159200</v>
      </c>
    </row>
    <row r="25" spans="1:11">
      <c r="A25" s="24" t="s">
        <v>124</v>
      </c>
      <c r="B25" s="25">
        <v>71400</v>
      </c>
      <c r="E25" s="24" t="s">
        <v>179</v>
      </c>
      <c r="F25" s="25">
        <v>169900</v>
      </c>
    </row>
    <row r="26" spans="1:11">
      <c r="A26" s="24" t="s">
        <v>122</v>
      </c>
      <c r="B26" s="25">
        <v>87400</v>
      </c>
      <c r="E26" s="24" t="s">
        <v>176</v>
      </c>
      <c r="F26" s="25">
        <v>170700</v>
      </c>
    </row>
    <row r="27" spans="1:11">
      <c r="A27" s="24" t="s">
        <v>123</v>
      </c>
      <c r="B27" s="25">
        <v>160400</v>
      </c>
      <c r="E27" s="24" t="s">
        <v>178</v>
      </c>
      <c r="F27" s="25">
        <v>224500</v>
      </c>
    </row>
    <row r="28" spans="1:11">
      <c r="A28" s="24" t="s">
        <v>119</v>
      </c>
      <c r="B28" s="25">
        <v>273500</v>
      </c>
      <c r="E28" s="24" t="s">
        <v>175</v>
      </c>
      <c r="F28" s="25">
        <v>289600</v>
      </c>
    </row>
    <row r="29" spans="1:11">
      <c r="A29" s="24" t="s">
        <v>121</v>
      </c>
      <c r="B29" s="25">
        <v>363600</v>
      </c>
      <c r="E29" s="24" t="s">
        <v>187</v>
      </c>
      <c r="F29" s="25">
        <v>1013900</v>
      </c>
    </row>
    <row r="30" spans="1:11">
      <c r="A30" s="24" t="s">
        <v>187</v>
      </c>
      <c r="B30" s="25">
        <v>1013900</v>
      </c>
    </row>
  </sheetData>
  <pageMargins left="0.7" right="0.7" top="0.75" bottom="0.75" header="0.3" footer="0.3"/>
  <pageSetup scale="64" orientation="portrait" r:id="rId6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D1:H1"/>
  <sheetViews>
    <sheetView tabSelected="1" topLeftCell="A19" workbookViewId="0">
      <selection activeCell="D9" sqref="D9"/>
    </sheetView>
  </sheetViews>
  <sheetFormatPr defaultRowHeight="15"/>
  <sheetData>
    <row r="1" spans="4:8" s="2" customFormat="1">
      <c r="D1" s="28"/>
      <c r="E1" s="28"/>
      <c r="F1" s="28" t="s">
        <v>194</v>
      </c>
      <c r="G1" s="28"/>
      <c r="H1" s="28"/>
    </row>
  </sheetData>
  <pageMargins left="0.7" right="0.7" top="0.75" bottom="0.75" header="0.3" footer="0.3"/>
  <pageSetup scale="65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24"/>
  <sheetViews>
    <sheetView workbookViewId="0">
      <selection activeCell="C1" sqref="C1:D1"/>
    </sheetView>
  </sheetViews>
  <sheetFormatPr defaultRowHeight="15"/>
  <cols>
    <col min="1" max="1" width="47.140625" bestFit="1" customWidth="1"/>
  </cols>
  <sheetData>
    <row r="1" spans="1:8">
      <c r="A1" s="31" t="s">
        <v>197</v>
      </c>
      <c r="B1" s="31"/>
      <c r="C1" s="31"/>
      <c r="D1" s="31"/>
      <c r="E1" s="29"/>
      <c r="F1" s="29"/>
      <c r="G1" s="29"/>
      <c r="H1" s="29"/>
    </row>
    <row r="2" spans="1:8">
      <c r="A2" s="29" t="s">
        <v>199</v>
      </c>
      <c r="B2" s="29"/>
      <c r="C2" s="29"/>
      <c r="D2" s="29"/>
      <c r="E2" s="29"/>
      <c r="F2" s="29"/>
      <c r="G2" s="29"/>
      <c r="H2" s="29"/>
    </row>
    <row r="3" spans="1:8">
      <c r="A3" s="29" t="s">
        <v>208</v>
      </c>
      <c r="B3" s="29"/>
      <c r="C3" s="29"/>
      <c r="D3" s="29"/>
      <c r="E3" s="29"/>
      <c r="F3" s="29"/>
      <c r="G3" s="29"/>
      <c r="H3" s="29"/>
    </row>
    <row r="4" spans="1:8">
      <c r="A4" s="29" t="s">
        <v>215</v>
      </c>
      <c r="B4" s="29"/>
      <c r="C4" s="29"/>
      <c r="D4" s="29"/>
      <c r="E4" s="29"/>
      <c r="F4" s="29"/>
      <c r="G4" s="29"/>
      <c r="H4" s="29"/>
    </row>
    <row r="5" spans="1:8">
      <c r="A5" s="29" t="s">
        <v>216</v>
      </c>
      <c r="B5" s="29"/>
      <c r="C5" s="29"/>
      <c r="D5" s="29"/>
      <c r="E5" s="29"/>
      <c r="F5" s="29"/>
      <c r="G5" s="29"/>
      <c r="H5" s="29"/>
    </row>
    <row r="6" spans="1:8">
      <c r="A6" s="29" t="s">
        <v>200</v>
      </c>
      <c r="B6" s="29"/>
      <c r="C6" s="29"/>
      <c r="D6" s="29"/>
      <c r="E6" s="29"/>
      <c r="F6" s="29"/>
      <c r="G6" s="29"/>
      <c r="H6" s="29"/>
    </row>
    <row r="7" spans="1:8">
      <c r="A7" s="29" t="s">
        <v>202</v>
      </c>
      <c r="B7" s="29"/>
      <c r="C7" s="29"/>
      <c r="D7" s="29"/>
      <c r="E7" s="29"/>
      <c r="F7" s="29"/>
      <c r="G7" s="29"/>
      <c r="H7" s="29"/>
    </row>
    <row r="8" spans="1:8">
      <c r="A8" s="29"/>
      <c r="B8" s="29"/>
      <c r="C8" s="29"/>
      <c r="D8" s="29"/>
      <c r="E8" s="29"/>
      <c r="F8" s="29"/>
      <c r="G8" s="29"/>
      <c r="H8" s="29"/>
    </row>
    <row r="9" spans="1:8">
      <c r="A9" s="30" t="s">
        <v>201</v>
      </c>
      <c r="B9" s="29"/>
      <c r="D9" s="30"/>
      <c r="E9" s="29"/>
      <c r="F9" s="29"/>
      <c r="G9" s="29"/>
      <c r="H9" s="29"/>
    </row>
    <row r="10" spans="1:8">
      <c r="A10" s="29" t="s">
        <v>212</v>
      </c>
      <c r="B10" s="29"/>
      <c r="C10" s="29"/>
      <c r="D10" s="29"/>
      <c r="E10" s="29"/>
      <c r="F10" s="29"/>
      <c r="G10" s="29"/>
      <c r="H10" s="29"/>
    </row>
    <row r="11" spans="1:8">
      <c r="A11" s="29" t="s">
        <v>209</v>
      </c>
      <c r="B11" s="29"/>
      <c r="C11" s="29"/>
      <c r="D11" s="29"/>
      <c r="E11" s="29"/>
      <c r="F11" s="29"/>
      <c r="G11" s="29"/>
      <c r="H11" s="29"/>
    </row>
    <row r="12" spans="1:8">
      <c r="A12" s="29" t="s">
        <v>213</v>
      </c>
      <c r="B12" s="29"/>
      <c r="C12" s="29"/>
      <c r="D12" s="29"/>
      <c r="E12" s="29"/>
      <c r="F12" s="29"/>
      <c r="G12" s="29"/>
      <c r="H12" s="29"/>
    </row>
    <row r="13" spans="1:8">
      <c r="A13" s="29" t="s">
        <v>214</v>
      </c>
      <c r="B13" s="29"/>
      <c r="C13" s="29"/>
      <c r="D13" s="29"/>
      <c r="E13" s="29"/>
      <c r="F13" s="29"/>
      <c r="G13" s="29"/>
      <c r="H13" s="29"/>
    </row>
    <row r="14" spans="1:8">
      <c r="A14" s="29" t="s">
        <v>210</v>
      </c>
      <c r="B14" s="29"/>
      <c r="C14" s="29"/>
      <c r="D14" s="29"/>
      <c r="E14" s="29"/>
      <c r="F14" s="29"/>
      <c r="G14" s="29"/>
      <c r="H14" s="29"/>
    </row>
    <row r="15" spans="1:8">
      <c r="A15" s="29" t="s">
        <v>211</v>
      </c>
      <c r="B15" s="29"/>
      <c r="C15" s="29"/>
      <c r="D15" s="29"/>
      <c r="E15" s="29"/>
      <c r="F15" s="29"/>
      <c r="G15" s="29"/>
      <c r="H15" s="29"/>
    </row>
    <row r="16" spans="1:8">
      <c r="A16" s="29"/>
      <c r="B16" s="29"/>
      <c r="C16" s="29"/>
      <c r="D16" s="29"/>
      <c r="E16" s="29"/>
      <c r="F16" s="29"/>
      <c r="G16" s="29"/>
      <c r="H16" s="29"/>
    </row>
    <row r="17" spans="1:8">
      <c r="A17" s="29"/>
      <c r="B17" s="29"/>
      <c r="C17" s="29"/>
      <c r="D17" s="29"/>
      <c r="E17" s="29"/>
      <c r="F17" s="29"/>
      <c r="G17" s="29"/>
      <c r="H17" s="29"/>
    </row>
    <row r="18" spans="1:8">
      <c r="A18" s="29"/>
      <c r="B18" s="29"/>
      <c r="C18" s="29"/>
      <c r="D18" s="29"/>
      <c r="E18" s="29"/>
      <c r="F18" s="29"/>
      <c r="G18" s="29"/>
      <c r="H18" s="29"/>
    </row>
    <row r="19" spans="1:8">
      <c r="A19" s="29"/>
      <c r="B19" s="29"/>
      <c r="C19" s="29"/>
      <c r="D19" s="29"/>
      <c r="E19" s="29"/>
      <c r="F19" s="29"/>
      <c r="G19" s="29"/>
      <c r="H19" s="29"/>
    </row>
    <row r="20" spans="1:8">
      <c r="A20" s="29"/>
      <c r="B20" s="29"/>
      <c r="C20" s="29"/>
      <c r="D20" s="29"/>
      <c r="E20" s="29"/>
      <c r="F20" s="29"/>
      <c r="G20" s="29"/>
      <c r="H20" s="29"/>
    </row>
    <row r="21" spans="1:8">
      <c r="A21" s="29"/>
      <c r="B21" s="29"/>
      <c r="C21" s="29"/>
      <c r="D21" s="29"/>
      <c r="E21" s="29"/>
      <c r="F21" s="29"/>
      <c r="G21" s="29"/>
      <c r="H21" s="29"/>
    </row>
    <row r="22" spans="1:8">
      <c r="A22" s="29"/>
      <c r="B22" s="29"/>
      <c r="C22" s="29"/>
      <c r="D22" s="29"/>
      <c r="E22" s="29"/>
      <c r="F22" s="29"/>
      <c r="G22" s="29"/>
      <c r="H22" s="29"/>
    </row>
    <row r="23" spans="1:8">
      <c r="A23" s="29"/>
      <c r="B23" s="29"/>
      <c r="C23" s="29"/>
      <c r="D23" s="29"/>
      <c r="E23" s="29"/>
      <c r="F23" s="29"/>
      <c r="G23" s="29"/>
      <c r="H23" s="29"/>
    </row>
    <row r="24" spans="1:8">
      <c r="A24" s="29"/>
      <c r="B24" s="29"/>
      <c r="C24" s="29"/>
      <c r="D24" s="29"/>
      <c r="E24" s="29"/>
      <c r="F24" s="29"/>
      <c r="G24" s="29"/>
      <c r="H24" s="29"/>
    </row>
  </sheetData>
  <mergeCells count="2">
    <mergeCell ref="C1:D1"/>
    <mergeCell ref="A1:B1"/>
  </mergeCells>
  <pageMargins left="0.7" right="0.7" top="0.75" bottom="0.75" header="0.3" footer="0.3"/>
  <pageSetup scale="7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2"/>
  <sheetViews>
    <sheetView workbookViewId="0">
      <selection activeCell="D11" sqref="D11"/>
    </sheetView>
  </sheetViews>
  <sheetFormatPr defaultRowHeight="15"/>
  <cols>
    <col min="1" max="1" width="13.140625" bestFit="1" customWidth="1"/>
    <col min="2" max="2" width="22.42578125" bestFit="1" customWidth="1"/>
    <col min="6" max="6" width="13.140625" bestFit="1" customWidth="1"/>
    <col min="7" max="7" width="22.42578125" bestFit="1" customWidth="1"/>
  </cols>
  <sheetData>
    <row r="1" spans="1:7">
      <c r="A1" s="23" t="s">
        <v>186</v>
      </c>
      <c r="B1" t="s">
        <v>196</v>
      </c>
    </row>
    <row r="2" spans="1:7">
      <c r="A2" s="24" t="s">
        <v>175</v>
      </c>
      <c r="B2" s="25">
        <v>289600</v>
      </c>
    </row>
    <row r="3" spans="1:7">
      <c r="A3" s="24" t="s">
        <v>176</v>
      </c>
      <c r="B3" s="25">
        <v>170700</v>
      </c>
    </row>
    <row r="4" spans="1:7">
      <c r="A4" s="24" t="s">
        <v>177</v>
      </c>
      <c r="B4" s="25">
        <v>159200</v>
      </c>
    </row>
    <row r="5" spans="1:7">
      <c r="A5" s="24" t="s">
        <v>178</v>
      </c>
      <c r="B5" s="25">
        <v>224500</v>
      </c>
      <c r="F5" s="23" t="s">
        <v>186</v>
      </c>
      <c r="G5" t="s">
        <v>196</v>
      </c>
    </row>
    <row r="6" spans="1:7">
      <c r="A6" s="24" t="s">
        <v>179</v>
      </c>
      <c r="B6" s="25">
        <v>169900</v>
      </c>
      <c r="F6" s="24" t="s">
        <v>120</v>
      </c>
      <c r="G6" s="25">
        <v>57600</v>
      </c>
    </row>
    <row r="7" spans="1:7">
      <c r="A7" s="24" t="s">
        <v>187</v>
      </c>
      <c r="B7" s="25">
        <v>1013900</v>
      </c>
      <c r="F7" s="24" t="s">
        <v>119</v>
      </c>
      <c r="G7" s="25">
        <v>273500</v>
      </c>
    </row>
    <row r="8" spans="1:7">
      <c r="F8" s="24" t="s">
        <v>123</v>
      </c>
      <c r="G8" s="25">
        <v>160400</v>
      </c>
    </row>
    <row r="9" spans="1:7">
      <c r="F9" s="24" t="s">
        <v>121</v>
      </c>
      <c r="G9" s="25">
        <v>363600</v>
      </c>
    </row>
    <row r="10" spans="1:7">
      <c r="F10" s="24" t="s">
        <v>122</v>
      </c>
      <c r="G10" s="25">
        <v>87400</v>
      </c>
    </row>
    <row r="11" spans="1:7">
      <c r="F11" s="24" t="s">
        <v>124</v>
      </c>
      <c r="G11" s="25">
        <v>71400</v>
      </c>
    </row>
    <row r="12" spans="1:7">
      <c r="F12" s="24" t="s">
        <v>187</v>
      </c>
      <c r="G12" s="25">
        <v>1013900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selection activeCell="E18" sqref="E18"/>
    </sheetView>
  </sheetViews>
  <sheetFormatPr defaultRowHeight="15"/>
  <cols>
    <col min="1" max="1" width="17.7109375" bestFit="1" customWidth="1"/>
  </cols>
  <sheetData>
    <row r="1" spans="1:4">
      <c r="A1" t="s">
        <v>217</v>
      </c>
    </row>
    <row r="2" spans="1:4">
      <c r="A2" t="str">
        <f>'Pivot Analysis'!$A3</f>
        <v>Row Labels</v>
      </c>
    </row>
    <row r="3" spans="1:4">
      <c r="A3" t="str">
        <f>'Pivot Analysis'!$A4</f>
        <v>Bottled Water</v>
      </c>
      <c r="B3">
        <f>'Pivot Analysis'!$B4</f>
        <v>9000</v>
      </c>
      <c r="D3">
        <f>SUMIFS('Cleaned Data'!E:E,'Cleaned Data'!C:C,Sheet9!$A3)</f>
        <v>18</v>
      </c>
    </row>
    <row r="4" spans="1:4">
      <c r="A4" t="str">
        <f>'Pivot Analysis'!$A5</f>
        <v>Potato Chips</v>
      </c>
      <c r="B4">
        <f>'Pivot Analysis'!$B5</f>
        <v>30600</v>
      </c>
      <c r="D4">
        <f>SUMIFS('Cleaned Data'!E:E,'Cleaned Data'!C:C,Sheet9!$A4)</f>
        <v>17</v>
      </c>
    </row>
    <row r="5" spans="1:4">
      <c r="A5" t="str">
        <f>'Pivot Analysis'!$A6</f>
        <v>Milk 1L</v>
      </c>
      <c r="B5">
        <f>'Pivot Analysis'!$B6</f>
        <v>30800</v>
      </c>
      <c r="D5">
        <f>SUMIFS('Cleaned Data'!E:E,'Cleaned Data'!C:C,Sheet9!$A5)</f>
        <v>11</v>
      </c>
    </row>
    <row r="6" spans="1:4">
      <c r="A6" t="str">
        <f>'Pivot Analysis'!$A7</f>
        <v>Yoghurt</v>
      </c>
      <c r="B6">
        <f>'Pivot Analysis'!$B7</f>
        <v>33000</v>
      </c>
      <c r="D6">
        <f>SUMIFS('Cleaned Data'!E:E,'Cleaned Data'!C:C,Sheet9!$A6)</f>
        <v>22</v>
      </c>
    </row>
    <row r="7" spans="1:4">
      <c r="A7" t="str">
        <f>'Pivot Analysis'!$A8</f>
        <v>Soft Drink</v>
      </c>
      <c r="B7">
        <f>'Pivot Analysis'!$B8</f>
        <v>35000</v>
      </c>
      <c r="D7">
        <f>SUMIFS('Cleaned Data'!E:E,'Cleaned Data'!C:C,Sheet9!$A7)</f>
        <v>35</v>
      </c>
    </row>
    <row r="8" spans="1:4">
      <c r="A8" t="str">
        <f>'Pivot Analysis'!$A9</f>
        <v>Biscuits</v>
      </c>
      <c r="B8">
        <f>'Pivot Analysis'!$B9</f>
        <v>40800</v>
      </c>
      <c r="D8">
        <f>SUMIFS('Cleaned Data'!E:E,'Cleaned Data'!C:C,Sheet9!$A8)</f>
        <v>34</v>
      </c>
    </row>
    <row r="9" spans="1:4">
      <c r="A9" t="str">
        <f>'Pivot Analysis'!$A10</f>
        <v>Bread</v>
      </c>
      <c r="B9">
        <f>'Pivot Analysis'!$B10</f>
        <v>57600</v>
      </c>
      <c r="D9">
        <f>SUMIFS('Cleaned Data'!E:E,'Cleaned Data'!C:C,Sheet9!$A9)</f>
        <v>32</v>
      </c>
    </row>
    <row r="10" spans="1:4">
      <c r="A10" t="str">
        <f>'Pivot Analysis'!$A11</f>
        <v>Vegetable Oil 1L</v>
      </c>
      <c r="B10">
        <f>'Pivot Analysis'!$B11</f>
        <v>57600</v>
      </c>
      <c r="D10">
        <f>SUMIFS('Cleaned Data'!E:E,'Cleaned Data'!C:C,Sheet9!$A10)</f>
        <v>18</v>
      </c>
    </row>
    <row r="11" spans="1:4">
      <c r="A11" t="str">
        <f>'Pivot Analysis'!$A12</f>
        <v>Laundry Detergent</v>
      </c>
      <c r="B11">
        <f>'Pivot Analysis'!$B12</f>
        <v>87400</v>
      </c>
      <c r="D11">
        <f>SUMIFS('Cleaned Data'!E:E,'Cleaned Data'!C:C,Sheet9!$A11)</f>
        <v>23</v>
      </c>
    </row>
    <row r="12" spans="1:4">
      <c r="A12" t="str">
        <f>'Pivot Analysis'!$A13</f>
        <v>Eggs (12)</v>
      </c>
      <c r="B12">
        <f>'Pivot Analysis'!$B13</f>
        <v>96600</v>
      </c>
      <c r="D12">
        <f>SUMIFS('Cleaned Data'!E:E,'Cleaned Data'!C:C,Sheet9!$A12)</f>
        <v>23</v>
      </c>
    </row>
    <row r="13" spans="1:4">
      <c r="A13" t="str">
        <f>'Pivot Analysis'!$A14</f>
        <v>Coffee</v>
      </c>
      <c r="B13">
        <f>'Pivot Analysis'!$B14</f>
        <v>229500</v>
      </c>
      <c r="D13">
        <f>SUMIFS('Cleaned Data'!E:E,'Cleaned Data'!C:C,Sheet9!$A13)</f>
        <v>51</v>
      </c>
    </row>
    <row r="14" spans="1:4">
      <c r="A14" t="str">
        <f>'Pivot Analysis'!$A15</f>
        <v>Rice 5kg</v>
      </c>
      <c r="B14">
        <f>'Pivot Analysis'!$B15</f>
        <v>306000</v>
      </c>
      <c r="D14">
        <f>SUMIFS('Cleaned Data'!E:E,'Cleaned Data'!C:C,Sheet9!$A14)</f>
        <v>36</v>
      </c>
    </row>
    <row r="15" spans="1:4">
      <c r="A15" t="str">
        <f>'Pivot Analysis'!$A16</f>
        <v>Grand Total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Sheet7</vt:lpstr>
      <vt:lpstr>Cleaned Data</vt:lpstr>
      <vt:lpstr>Analysis</vt:lpstr>
      <vt:lpstr>Monthly Analysis</vt:lpstr>
      <vt:lpstr>Sheet5</vt:lpstr>
      <vt:lpstr>Sheet6</vt:lpstr>
      <vt:lpstr>Sheet4</vt:lpstr>
      <vt:lpstr>Pivot Analysis</vt:lpstr>
      <vt:lpstr>Dashboard</vt:lpstr>
      <vt:lpstr>Insights &amp; Recommendation</vt:lpstr>
      <vt:lpstr>Sheet3</vt:lpstr>
      <vt:lpstr>Sheet2</vt:lpstr>
      <vt:lpstr>Sheet1</vt:lpstr>
      <vt:lpstr>Sheet8</vt:lpstr>
      <vt:lpstr>Sheet9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2026-09-19T03:37:20Z</cp:lastPrinted>
  <dcterms:created xsi:type="dcterms:W3CDTF">2026-09-09T10:27:56Z</dcterms:created>
  <dcterms:modified xsi:type="dcterms:W3CDTF">2026-09-19T22:00:02Z</dcterms:modified>
</cp:coreProperties>
</file>